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NCSU\Collaborations\Coal Fly Ash\data_for_pub\excel_files\"/>
    </mc:Choice>
  </mc:AlternateContent>
  <xr:revisionPtr revIDLastSave="0" documentId="13_ncr:1_{BD9DAA8F-3DF2-498D-8D43-D03F6FF7CC72}" xr6:coauthVersionLast="47" xr6:coauthVersionMax="47" xr10:uidLastSave="{00000000-0000-0000-0000-000000000000}"/>
  <bookViews>
    <workbookView xWindow="-98" yWindow="-98" windowWidth="21795" windowHeight="13875" firstSheet="3" activeTab="7" xr2:uid="{00000000-000D-0000-FFFF-FFFF00000000}"/>
  </bookViews>
  <sheets>
    <sheet name="High_BASE" sheetId="12" r:id="rId1"/>
    <sheet name="High_RESI" sheetId="14" r:id="rId2"/>
    <sheet name="High_WOOD" sheetId="16" r:id="rId3"/>
    <sheet name="ocean_dep_soluble_only_HIGH" sheetId="18" r:id="rId4"/>
    <sheet name="Low_BASE" sheetId="13" r:id="rId5"/>
    <sheet name="Low_RESI" sheetId="15" r:id="rId6"/>
    <sheet name="Low_WOOD" sheetId="17" r:id="rId7"/>
    <sheet name="ocean_dep_soluble_only_LOW" sheetId="20" r:id="rId8"/>
  </sheets>
  <definedNames>
    <definedName name="_xlnm._FilterDatabase" localSheetId="0" hidden="1">High_BASE!$A$1:$A$24</definedName>
    <definedName name="_xlnm._FilterDatabase" localSheetId="1" hidden="1">High_RESI!$A$1:$A$19</definedName>
    <definedName name="_xlnm._FilterDatabase" localSheetId="2" hidden="1">High_WOOD!$A$1:$A$19</definedName>
    <definedName name="_xlnm._FilterDatabase" localSheetId="3" hidden="1">ocean_dep_soluble_only_HIGH!$B$1:$B$88</definedName>
    <definedName name="_xlnm._FilterDatabase" localSheetId="7" hidden="1">ocean_dep_soluble_only_LOW!$B$1:$B$102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5" i="20" l="1"/>
  <c r="D111" i="20"/>
  <c r="E111" i="20" s="1"/>
  <c r="D114" i="20"/>
  <c r="E114" i="20" s="1"/>
  <c r="D113" i="20"/>
  <c r="D110" i="20"/>
  <c r="D109" i="20"/>
  <c r="D108" i="20"/>
  <c r="D107" i="20"/>
  <c r="D106" i="20"/>
  <c r="E106" i="20" s="1"/>
  <c r="D105" i="20"/>
  <c r="E116" i="20"/>
  <c r="E112" i="20"/>
  <c r="E110" i="20"/>
  <c r="E108" i="20"/>
  <c r="E107" i="20"/>
  <c r="D100" i="20"/>
  <c r="D99" i="20"/>
  <c r="E102" i="20" s="1"/>
  <c r="D96" i="20"/>
  <c r="D95" i="20"/>
  <c r="E97" i="20" s="1"/>
  <c r="D94" i="20"/>
  <c r="D93" i="20"/>
  <c r="D92" i="20"/>
  <c r="D91" i="20"/>
  <c r="D91" i="18"/>
  <c r="E101" i="18"/>
  <c r="E102" i="18"/>
  <c r="E100" i="18"/>
  <c r="E96" i="18"/>
  <c r="E98" i="18"/>
  <c r="E97" i="18"/>
  <c r="E93" i="18"/>
  <c r="E94" i="18"/>
  <c r="E92" i="18"/>
  <c r="D100" i="18"/>
  <c r="D96" i="18"/>
  <c r="D94" i="18"/>
  <c r="D93" i="18"/>
  <c r="D92" i="18"/>
  <c r="D99" i="18"/>
  <c r="D95" i="18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B25" i="16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B25" i="17"/>
  <c r="B22" i="17"/>
  <c r="B23" i="17" s="1"/>
  <c r="B22" i="13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B23" i="15"/>
  <c r="J23" i="16"/>
  <c r="K23" i="16"/>
  <c r="L23" i="16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I22" i="12"/>
  <c r="B22" i="12"/>
  <c r="O22" i="12"/>
  <c r="N22" i="12"/>
  <c r="M22" i="12"/>
  <c r="L22" i="12"/>
  <c r="K22" i="12"/>
  <c r="J22" i="12"/>
  <c r="H22" i="12"/>
  <c r="G22" i="12"/>
  <c r="F22" i="12"/>
  <c r="E22" i="12"/>
  <c r="D22" i="12"/>
  <c r="C22" i="12"/>
  <c r="D22" i="16"/>
  <c r="D23" i="16" s="1"/>
  <c r="O22" i="16"/>
  <c r="O23" i="16" s="1"/>
  <c r="N22" i="16"/>
  <c r="N23" i="16" s="1"/>
  <c r="M22" i="16"/>
  <c r="M23" i="16" s="1"/>
  <c r="L22" i="16"/>
  <c r="K22" i="16"/>
  <c r="J22" i="16"/>
  <c r="I22" i="16"/>
  <c r="I23" i="16" s="1"/>
  <c r="H22" i="16"/>
  <c r="H23" i="16" s="1"/>
  <c r="G22" i="16"/>
  <c r="G23" i="16" s="1"/>
  <c r="F22" i="16"/>
  <c r="F23" i="16" s="1"/>
  <c r="E22" i="16"/>
  <c r="E23" i="16" s="1"/>
  <c r="C22" i="16"/>
  <c r="C23" i="16" s="1"/>
  <c r="B22" i="16"/>
  <c r="B23" i="16" s="1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C22" i="17"/>
  <c r="C23" i="17" s="1"/>
  <c r="D22" i="17"/>
  <c r="D23" i="17" s="1"/>
  <c r="E22" i="17"/>
  <c r="E23" i="17" s="1"/>
  <c r="F22" i="17"/>
  <c r="F23" i="17" s="1"/>
  <c r="G22" i="17"/>
  <c r="G23" i="17" s="1"/>
  <c r="I22" i="17"/>
  <c r="I23" i="17" s="1"/>
  <c r="J22" i="17"/>
  <c r="J23" i="17" s="1"/>
  <c r="K22" i="17"/>
  <c r="K23" i="17" s="1"/>
  <c r="L22" i="17"/>
  <c r="L23" i="17" s="1"/>
  <c r="M22" i="17"/>
  <c r="M23" i="17" s="1"/>
  <c r="N22" i="17"/>
  <c r="N23" i="17" s="1"/>
  <c r="O22" i="17"/>
  <c r="O23" i="17" s="1"/>
  <c r="H22" i="17"/>
  <c r="H23" i="17" s="1"/>
  <c r="P31" i="18"/>
  <c r="P32" i="18"/>
  <c r="E15" i="20"/>
  <c r="F15" i="20"/>
  <c r="G15" i="20"/>
  <c r="H15" i="20"/>
  <c r="I15" i="20"/>
  <c r="J15" i="20"/>
  <c r="K15" i="20"/>
  <c r="L15" i="20"/>
  <c r="M15" i="20"/>
  <c r="N15" i="20"/>
  <c r="O15" i="20"/>
  <c r="P15" i="20"/>
  <c r="Q15" i="20"/>
  <c r="D15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D8" i="20"/>
  <c r="E7" i="20"/>
  <c r="F7" i="20"/>
  <c r="G7" i="20"/>
  <c r="H7" i="20"/>
  <c r="I7" i="20"/>
  <c r="J7" i="20"/>
  <c r="K7" i="20"/>
  <c r="L7" i="20"/>
  <c r="M7" i="20"/>
  <c r="N7" i="20"/>
  <c r="O7" i="20"/>
  <c r="P7" i="20"/>
  <c r="Q7" i="20"/>
  <c r="D7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D6" i="20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D8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D7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D6" i="18"/>
  <c r="E93" i="20" l="1"/>
  <c r="E100" i="20"/>
  <c r="E92" i="20"/>
  <c r="E94" i="20"/>
  <c r="E96" i="20"/>
  <c r="E98" i="20"/>
  <c r="E101" i="20"/>
  <c r="Q34" i="18"/>
</calcChain>
</file>

<file path=xl/sharedStrings.xml><?xml version="1.0" encoding="utf-8"?>
<sst xmlns="http://schemas.openxmlformats.org/spreadsheetml/2006/main" count="512" uniqueCount="56">
  <si>
    <t>Variable</t>
  </si>
  <si>
    <t>SATL_Budget</t>
  </si>
  <si>
    <t>NATL_Budget</t>
  </si>
  <si>
    <t>AS_Budget</t>
  </si>
  <si>
    <t>BB_Budget</t>
  </si>
  <si>
    <t>INDO_budget</t>
  </si>
  <si>
    <t>SEAS_Budget</t>
  </si>
  <si>
    <t>NPAC_Budget</t>
  </si>
  <si>
    <t>ARCT_Budget</t>
  </si>
  <si>
    <t>AUSP_Budget</t>
  </si>
  <si>
    <t>SO_Budget</t>
  </si>
  <si>
    <t>CPAO_Budget</t>
  </si>
  <si>
    <t>FESOLDEP_mean</t>
  </si>
  <si>
    <t>FEANSOLDEP_mean</t>
  </si>
  <si>
    <t>FEBBSOLDEP_mean</t>
  </si>
  <si>
    <t>FEDUSOLDEP_mean</t>
  </si>
  <si>
    <t>FETOTDEP_mean</t>
  </si>
  <si>
    <t>FEANTOTDEP_mean</t>
  </si>
  <si>
    <t>FEBBTOTDEP_mean</t>
  </si>
  <si>
    <t>FEDUTOTDEP_mean</t>
  </si>
  <si>
    <t>Ocean_budget</t>
  </si>
  <si>
    <t>ENPAC_Budget</t>
  </si>
  <si>
    <t>WNPAC_Budget</t>
  </si>
  <si>
    <t>Total_Budget</t>
  </si>
  <si>
    <t>SATL_Budget_oc</t>
  </si>
  <si>
    <t>NATL_Budget_oc</t>
  </si>
  <si>
    <t>AS_Budget_oc</t>
  </si>
  <si>
    <t>BB_Budget_oc</t>
  </si>
  <si>
    <t>INDO_budget_oc</t>
  </si>
  <si>
    <t>SEAS_Budget_oc</t>
  </si>
  <si>
    <t>NPAC_Budget_oc</t>
  </si>
  <si>
    <t>ENPAC_Budget_oc</t>
  </si>
  <si>
    <t>WNPAC_Budget_oc</t>
  </si>
  <si>
    <t>ARCT_Budget_oc</t>
  </si>
  <si>
    <t>AUSP_Budget_oc</t>
  </si>
  <si>
    <t>SO_Budget_oc</t>
  </si>
  <si>
    <t>CPAO_Budget_oc</t>
  </si>
  <si>
    <t>Simulation</t>
  </si>
  <si>
    <t>Scenario</t>
  </si>
  <si>
    <t>V1</t>
  </si>
  <si>
    <t>SSP370mid</t>
  </si>
  <si>
    <t>V3</t>
  </si>
  <si>
    <t>SSP370end</t>
  </si>
  <si>
    <t>PD</t>
  </si>
  <si>
    <t>V2</t>
  </si>
  <si>
    <t>PI</t>
  </si>
  <si>
    <t>Relative change to BASE</t>
  </si>
  <si>
    <t>Relative change in AN to BASE</t>
  </si>
  <si>
    <t>% contr. AN to all sol Fe</t>
  </si>
  <si>
    <t xml:space="preserve">This matches what I reported in the original table =) </t>
  </si>
  <si>
    <t xml:space="preserve">*DUST IS SCALED HERE AND EVERYWHERE BY 3.8 </t>
  </si>
  <si>
    <t>v1 (sum)</t>
  </si>
  <si>
    <t>v2 (sum)</t>
  </si>
  <si>
    <t>v3 (sum)</t>
  </si>
  <si>
    <t>% contribution</t>
  </si>
  <si>
    <t>Gg 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</si>
</sst>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0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" fontId="0" fillId="0" borderId="0" xfId="0" applyNumberFormat="1" applyFill="1"/>
    <xf numFmtId="164" fontId="0" fillId="0" borderId="0" xfId="0" applyNumberFormat="1" applyFill="1"/>
    <xf numFmtId="0" fontId="0" fillId="0" borderId="0" xfId="0" applyFill="1"/>
    <xf numFmtId="0" fontId="1" fillId="0" borderId="0" xfId="0" applyFont="1"/>
    <xf numFmtId="0" fontId="2" fillId="0" borderId="0" xfId="0" applyFont="1" applyAlignment="1">
      <alignment horizontal="center" vertical="top"/>
    </xf>
    <xf numFmtId="0" fontId="3" fillId="0" borderId="0" xfId="0" applyFont="1"/>
    <xf numFmtId="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2" borderId="0" xfId="0" applyFill="1"/>
    <xf numFmtId="165" fontId="0" fillId="0" borderId="0" xfId="0" applyNumberFormat="1" applyAlignment="1">
      <alignment horizontal="center"/>
    </xf>
    <xf numFmtId="0" fontId="3" fillId="0" borderId="0" xfId="0" applyFont="1" applyFill="1"/>
    <xf numFmtId="165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 applyFill="1" applyAlignment="1">
      <alignment horizontal="center" vertical="center"/>
    </xf>
    <xf numFmtId="166" fontId="0" fillId="0" borderId="0" xfId="0" applyNumberFormat="1" applyFill="1" applyAlignment="1">
      <alignment horizontal="center"/>
    </xf>
    <xf numFmtId="9" fontId="0" fillId="0" borderId="0" xfId="1" applyFont="1"/>
    <xf numFmtId="9" fontId="0" fillId="0" borderId="0" xfId="0" applyNumberFormat="1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1" fontId="0" fillId="0" borderId="0" xfId="0" applyNumberFormat="1" applyBorder="1" applyAlignment="1">
      <alignment horizontal="center"/>
    </xf>
    <xf numFmtId="0" fontId="0" fillId="0" borderId="5" xfId="0" applyBorder="1"/>
    <xf numFmtId="0" fontId="3" fillId="0" borderId="4" xfId="0" applyFont="1" applyFill="1" applyBorder="1"/>
    <xf numFmtId="164" fontId="0" fillId="0" borderId="0" xfId="0" applyNumberFormat="1" applyBorder="1" applyAlignment="1">
      <alignment horizontal="center"/>
    </xf>
    <xf numFmtId="2" fontId="0" fillId="0" borderId="5" xfId="0" applyNumberFormat="1" applyBorder="1"/>
    <xf numFmtId="0" fontId="3" fillId="0" borderId="6" xfId="0" applyFont="1" applyFill="1" applyBorder="1"/>
    <xf numFmtId="1" fontId="0" fillId="0" borderId="7" xfId="0" applyNumberFormat="1" applyBorder="1" applyAlignment="1">
      <alignment horizontal="center"/>
    </xf>
    <xf numFmtId="2" fontId="0" fillId="0" borderId="8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3053-3811-4353-B7EA-3AF3EF7A5632}">
  <dimension ref="A1:P25"/>
  <sheetViews>
    <sheetView workbookViewId="0">
      <selection activeCell="C25" sqref="C25"/>
    </sheetView>
  </sheetViews>
  <sheetFormatPr defaultRowHeight="14.25" x14ac:dyDescent="0.45"/>
  <cols>
    <col min="1" max="1" width="18" customWidth="1"/>
    <col min="2" max="2" width="9.19921875" bestFit="1" customWidth="1"/>
    <col min="3" max="15" width="9.1328125" bestFit="1" customWidth="1"/>
  </cols>
  <sheetData>
    <row r="1" spans="1:16" x14ac:dyDescent="0.4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6" x14ac:dyDescent="0.45">
      <c r="A2" s="1" t="s">
        <v>13</v>
      </c>
      <c r="B2" s="1">
        <v>90.52</v>
      </c>
      <c r="C2" s="1">
        <v>3.448</v>
      </c>
      <c r="D2" s="1">
        <v>22.89</v>
      </c>
      <c r="E2" s="1">
        <v>6.7309999999999999</v>
      </c>
      <c r="F2" s="1">
        <v>11.853999999999999</v>
      </c>
      <c r="G2" s="1">
        <v>18.585000000000001</v>
      </c>
      <c r="H2" s="1">
        <v>25.66</v>
      </c>
      <c r="I2" s="1">
        <v>5.99</v>
      </c>
      <c r="J2" s="1">
        <v>3.3580000000000001</v>
      </c>
      <c r="K2" s="1">
        <v>2.7029999999999998</v>
      </c>
      <c r="L2" s="1">
        <v>3.5830000000000002</v>
      </c>
      <c r="M2" s="1">
        <v>0.84499999999999997</v>
      </c>
      <c r="N2" s="1">
        <v>0.35199999999999998</v>
      </c>
      <c r="O2">
        <v>9.1669999999999998</v>
      </c>
    </row>
    <row r="3" spans="1:16" x14ac:dyDescent="0.45">
      <c r="A3" s="1" t="s">
        <v>14</v>
      </c>
      <c r="B3" s="1">
        <v>73.430999999999997</v>
      </c>
      <c r="C3" s="1">
        <v>7.0449999999999999</v>
      </c>
      <c r="D3" s="1">
        <v>4.9640000000000004</v>
      </c>
      <c r="E3" s="1">
        <v>4.9710000000000001</v>
      </c>
      <c r="F3" s="1">
        <v>4.8049999999999997</v>
      </c>
      <c r="G3" s="1">
        <v>9.7769999999999992</v>
      </c>
      <c r="H3" s="1">
        <v>7.25</v>
      </c>
      <c r="I3" s="1">
        <v>2.17</v>
      </c>
      <c r="J3" s="1">
        <v>0.81399999999999995</v>
      </c>
      <c r="K3" s="1">
        <v>1.3740000000000001</v>
      </c>
      <c r="L3" s="1">
        <v>3.2559999999999998</v>
      </c>
      <c r="M3" s="1">
        <v>2.4220000000000002</v>
      </c>
      <c r="N3" s="1">
        <v>0.626</v>
      </c>
      <c r="O3">
        <v>35.921999999999997</v>
      </c>
    </row>
    <row r="4" spans="1:16" x14ac:dyDescent="0.45">
      <c r="A4" s="1" t="s">
        <v>15</v>
      </c>
      <c r="B4" s="1">
        <v>834.79</v>
      </c>
      <c r="C4" s="1">
        <v>20.042000000000002</v>
      </c>
      <c r="D4" s="1">
        <v>150.559</v>
      </c>
      <c r="E4" s="1">
        <v>187.25399999999999</v>
      </c>
      <c r="F4" s="1">
        <v>39.892000000000003</v>
      </c>
      <c r="G4" s="1">
        <v>227.14699999999999</v>
      </c>
      <c r="H4" s="1">
        <v>14.914999999999999</v>
      </c>
      <c r="I4" s="1">
        <v>7.335</v>
      </c>
      <c r="J4" s="1">
        <v>2.6949999999999998</v>
      </c>
      <c r="K4" s="1">
        <v>4.7110000000000003</v>
      </c>
      <c r="L4" s="1">
        <v>5.9029999999999996</v>
      </c>
      <c r="M4" s="1">
        <v>38.320999999999998</v>
      </c>
      <c r="N4" s="1">
        <v>9.9510000000000005</v>
      </c>
      <c r="O4">
        <v>360.61799999999999</v>
      </c>
    </row>
    <row r="5" spans="1:16" x14ac:dyDescent="0.45">
      <c r="A5" s="1" t="s">
        <v>17</v>
      </c>
      <c r="B5" s="1">
        <v>2221.7069999999999</v>
      </c>
      <c r="C5" s="1">
        <v>70.099000000000004</v>
      </c>
      <c r="D5" s="1">
        <v>655.37900000000002</v>
      </c>
      <c r="E5" s="1">
        <v>119.67700000000001</v>
      </c>
      <c r="F5" s="1">
        <v>256.44900000000001</v>
      </c>
      <c r="G5" s="1">
        <v>376.12599999999998</v>
      </c>
      <c r="H5" s="1">
        <v>845.21799999999996</v>
      </c>
      <c r="I5" s="1">
        <v>82.718000000000004</v>
      </c>
      <c r="J5" s="1">
        <v>44.871000000000002</v>
      </c>
      <c r="K5" s="1">
        <v>38.646999999999998</v>
      </c>
      <c r="L5" s="1">
        <v>65.001000000000005</v>
      </c>
      <c r="M5" s="1">
        <v>22.548999999999999</v>
      </c>
      <c r="N5" s="1">
        <v>5.673</v>
      </c>
      <c r="O5">
        <v>98.944000000000003</v>
      </c>
    </row>
    <row r="6" spans="1:16" x14ac:dyDescent="0.45">
      <c r="A6" s="1" t="s">
        <v>18</v>
      </c>
      <c r="B6" s="1">
        <v>742.65</v>
      </c>
      <c r="C6" s="1">
        <v>66.495999999999995</v>
      </c>
      <c r="D6" s="1">
        <v>50.054000000000002</v>
      </c>
      <c r="E6" s="1">
        <v>49.631999999999998</v>
      </c>
      <c r="F6" s="1">
        <v>49.134</v>
      </c>
      <c r="G6" s="1">
        <v>98.766000000000005</v>
      </c>
      <c r="H6" s="1">
        <v>71.971000000000004</v>
      </c>
      <c r="I6" s="1">
        <v>19.161000000000001</v>
      </c>
      <c r="J6" s="1">
        <v>5.8559999999999999</v>
      </c>
      <c r="K6" s="1">
        <v>13.427</v>
      </c>
      <c r="L6" s="1">
        <v>30.183</v>
      </c>
      <c r="M6" s="1">
        <v>24.242999999999999</v>
      </c>
      <c r="N6" s="1">
        <v>4.1470000000000002</v>
      </c>
      <c r="O6">
        <v>377.63</v>
      </c>
    </row>
    <row r="7" spans="1:16" x14ac:dyDescent="0.45">
      <c r="A7" s="1" t="s">
        <v>19</v>
      </c>
      <c r="B7" s="1">
        <v>109530.571</v>
      </c>
      <c r="C7" s="1">
        <v>2468.5819999999999</v>
      </c>
      <c r="D7" s="1">
        <v>18033.073</v>
      </c>
      <c r="E7" s="1">
        <v>27961.133999999998</v>
      </c>
      <c r="F7" s="1">
        <v>2633.029</v>
      </c>
      <c r="G7" s="1">
        <v>30594.163</v>
      </c>
      <c r="H7" s="1">
        <v>956.40300000000002</v>
      </c>
      <c r="I7" s="1">
        <v>632.16499999999996</v>
      </c>
      <c r="J7" s="1">
        <v>120.42100000000001</v>
      </c>
      <c r="K7" s="1">
        <v>515.35799999999995</v>
      </c>
      <c r="L7" s="1">
        <v>205.45699999999999</v>
      </c>
      <c r="M7" s="1">
        <v>5475.2280000000001</v>
      </c>
      <c r="N7" s="1">
        <v>693.37699999999995</v>
      </c>
      <c r="O7">
        <v>50472.122000000003</v>
      </c>
    </row>
    <row r="8" spans="1:16" x14ac:dyDescent="0.45">
      <c r="A8" s="1" t="s">
        <v>12</v>
      </c>
      <c r="B8" s="1">
        <v>998.74099999999999</v>
      </c>
      <c r="C8" s="1">
        <v>30.533999999999999</v>
      </c>
      <c r="D8" s="1">
        <v>178.41300000000001</v>
      </c>
      <c r="E8" s="1">
        <v>198.95599999999999</v>
      </c>
      <c r="F8" s="1">
        <v>56.552</v>
      </c>
      <c r="G8" s="1">
        <v>255.50800000000001</v>
      </c>
      <c r="H8" s="1">
        <v>47.823999999999998</v>
      </c>
      <c r="I8" s="1">
        <v>15.494999999999999</v>
      </c>
      <c r="J8" s="1">
        <v>6.8680000000000003</v>
      </c>
      <c r="K8" s="1">
        <v>8.7880000000000003</v>
      </c>
      <c r="L8" s="1">
        <v>12.742000000000001</v>
      </c>
      <c r="M8" s="1">
        <v>41.588000000000001</v>
      </c>
      <c r="N8" s="1">
        <v>10.929</v>
      </c>
      <c r="O8">
        <v>405.70699999999999</v>
      </c>
    </row>
    <row r="9" spans="1:16" x14ac:dyDescent="0.45">
      <c r="A9" s="1" t="s">
        <v>16</v>
      </c>
      <c r="B9" s="1">
        <v>112494.928</v>
      </c>
      <c r="C9" s="1">
        <v>2605.1770000000001</v>
      </c>
      <c r="D9" s="1">
        <v>18738.506000000001</v>
      </c>
      <c r="E9" s="1">
        <v>28130.444</v>
      </c>
      <c r="F9" s="1">
        <v>2938.6109999999999</v>
      </c>
      <c r="G9" s="1">
        <v>31069.055</v>
      </c>
      <c r="H9" s="1">
        <v>1873.5920000000001</v>
      </c>
      <c r="I9" s="1">
        <v>734.04399999999998</v>
      </c>
      <c r="J9" s="1">
        <v>171.148</v>
      </c>
      <c r="K9" s="1">
        <v>567.43200000000002</v>
      </c>
      <c r="L9" s="1">
        <v>300.64100000000002</v>
      </c>
      <c r="M9" s="1">
        <v>5522.02</v>
      </c>
      <c r="N9" s="1">
        <v>703.197</v>
      </c>
      <c r="O9" s="3">
        <v>50948.696000000004</v>
      </c>
    </row>
    <row r="10" spans="1:16" x14ac:dyDescent="0.4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3"/>
    </row>
    <row r="11" spans="1:16" x14ac:dyDescent="0.45">
      <c r="A11" t="s">
        <v>0</v>
      </c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6" x14ac:dyDescent="0.45">
      <c r="A12" s="1" t="s">
        <v>13</v>
      </c>
      <c r="B12" s="1">
        <v>36.177</v>
      </c>
      <c r="C12" s="1">
        <v>1.6739999999999999</v>
      </c>
      <c r="D12" s="1">
        <v>3.9119999999999999</v>
      </c>
      <c r="E12" s="1">
        <v>4.1559999999999997</v>
      </c>
      <c r="F12" s="1">
        <v>4.5069999999999997</v>
      </c>
      <c r="G12" s="1">
        <v>8.6630000000000003</v>
      </c>
      <c r="H12" s="1">
        <v>10.683999999999999</v>
      </c>
      <c r="I12" s="1">
        <v>5.0999999999999996</v>
      </c>
      <c r="J12" s="1">
        <v>3.2570000000000001</v>
      </c>
      <c r="K12" s="1">
        <v>1.9139999999999999</v>
      </c>
      <c r="L12" s="1">
        <v>0.61499999999999999</v>
      </c>
      <c r="M12" s="1">
        <v>0.54400000000000004</v>
      </c>
      <c r="N12" s="1">
        <v>0.33300000000000002</v>
      </c>
      <c r="O12" s="1">
        <v>4.6539999999999999</v>
      </c>
    </row>
    <row r="13" spans="1:16" x14ac:dyDescent="0.45">
      <c r="A13" s="1" t="s">
        <v>14</v>
      </c>
      <c r="B13" s="1">
        <v>25.907</v>
      </c>
      <c r="C13" s="1">
        <v>3.0390000000000001</v>
      </c>
      <c r="D13" s="1">
        <v>0.82399999999999995</v>
      </c>
      <c r="E13" s="1">
        <v>2.2429999999999999</v>
      </c>
      <c r="F13" s="1">
        <v>2.306</v>
      </c>
      <c r="G13" s="1">
        <v>4.5490000000000004</v>
      </c>
      <c r="H13" s="1">
        <v>3.04</v>
      </c>
      <c r="I13" s="1">
        <v>1.141</v>
      </c>
      <c r="J13" s="1">
        <v>0.76300000000000001</v>
      </c>
      <c r="K13" s="1">
        <v>0.39700000000000002</v>
      </c>
      <c r="L13" s="1">
        <v>0.16700000000000001</v>
      </c>
      <c r="M13" s="1">
        <v>1.089</v>
      </c>
      <c r="N13" s="1">
        <v>0.6</v>
      </c>
      <c r="O13" s="1">
        <v>11.458</v>
      </c>
    </row>
    <row r="14" spans="1:16" x14ac:dyDescent="0.45">
      <c r="A14" s="1" t="s">
        <v>15</v>
      </c>
      <c r="B14" s="1">
        <v>304.93900000000002</v>
      </c>
      <c r="C14" s="1">
        <v>12.678000000000001</v>
      </c>
      <c r="D14" s="1">
        <v>28.370999999999999</v>
      </c>
      <c r="E14" s="1">
        <v>69.94</v>
      </c>
      <c r="F14" s="1">
        <v>23.678999999999998</v>
      </c>
      <c r="G14" s="1">
        <v>93.619</v>
      </c>
      <c r="H14" s="1">
        <v>7.5709999999999997</v>
      </c>
      <c r="I14" s="1">
        <v>4.4059999999999997</v>
      </c>
      <c r="J14" s="1">
        <v>2.613</v>
      </c>
      <c r="K14" s="1">
        <v>1.863</v>
      </c>
      <c r="L14" s="1">
        <v>1.2330000000000001</v>
      </c>
      <c r="M14" s="1">
        <v>16.535</v>
      </c>
      <c r="N14" s="1">
        <v>9.1780000000000008</v>
      </c>
      <c r="O14" s="1">
        <v>131.34899999999999</v>
      </c>
    </row>
    <row r="15" spans="1:16" x14ac:dyDescent="0.45">
      <c r="A15" s="1" t="s">
        <v>17</v>
      </c>
      <c r="B15" s="1">
        <v>585.62900000000002</v>
      </c>
      <c r="C15" s="1">
        <v>23.79</v>
      </c>
      <c r="D15" s="1">
        <v>71.888999999999996</v>
      </c>
      <c r="E15" s="1">
        <v>56.844999999999999</v>
      </c>
      <c r="F15" s="1">
        <v>65.287000000000006</v>
      </c>
      <c r="G15" s="1">
        <v>122.13200000000001</v>
      </c>
      <c r="H15" s="1">
        <v>241.47</v>
      </c>
      <c r="I15" s="1">
        <v>61.146999999999998</v>
      </c>
      <c r="J15" s="1">
        <v>43.081000000000003</v>
      </c>
      <c r="K15" s="1">
        <v>18.866</v>
      </c>
      <c r="L15" s="1">
        <v>9.2789999999999999</v>
      </c>
      <c r="M15" s="1">
        <v>11.269</v>
      </c>
      <c r="N15" s="1">
        <v>5.33</v>
      </c>
      <c r="O15" s="1">
        <v>39.323</v>
      </c>
    </row>
    <row r="16" spans="1:16" x14ac:dyDescent="0.45">
      <c r="A16" s="1" t="s">
        <v>18</v>
      </c>
      <c r="B16" s="1">
        <v>215.54400000000001</v>
      </c>
      <c r="C16" s="1">
        <v>23.318999999999999</v>
      </c>
      <c r="D16" s="1">
        <v>7.0709999999999997</v>
      </c>
      <c r="E16" s="1">
        <v>17.806999999999999</v>
      </c>
      <c r="F16" s="1">
        <v>19.73</v>
      </c>
      <c r="G16" s="1">
        <v>37.536999999999999</v>
      </c>
      <c r="H16" s="1">
        <v>27.574999999999999</v>
      </c>
      <c r="I16" s="1">
        <v>7.92</v>
      </c>
      <c r="J16" s="1">
        <v>5.4729999999999999</v>
      </c>
      <c r="K16" s="1">
        <v>2.569</v>
      </c>
      <c r="L16" s="1">
        <v>1.2150000000000001</v>
      </c>
      <c r="M16" s="1">
        <v>8.8610000000000007</v>
      </c>
      <c r="N16" s="1">
        <v>3.996</v>
      </c>
      <c r="O16" s="1">
        <v>98.05</v>
      </c>
    </row>
    <row r="17" spans="1:15" x14ac:dyDescent="0.45">
      <c r="A17" s="1" t="s">
        <v>19</v>
      </c>
      <c r="B17" s="1">
        <v>22436.444</v>
      </c>
      <c r="C17" s="1">
        <v>1220.289</v>
      </c>
      <c r="D17" s="1">
        <v>2138.9969999999998</v>
      </c>
      <c r="E17" s="1">
        <v>6638.6040000000003</v>
      </c>
      <c r="F17" s="1">
        <v>1449.5619999999999</v>
      </c>
      <c r="G17" s="1">
        <v>8088.1660000000002</v>
      </c>
      <c r="H17" s="1">
        <v>437.37900000000002</v>
      </c>
      <c r="I17" s="1">
        <v>214.161</v>
      </c>
      <c r="J17" s="1">
        <v>117.797</v>
      </c>
      <c r="K17" s="1">
        <v>99.977999999999994</v>
      </c>
      <c r="L17" s="1">
        <v>48.438000000000002</v>
      </c>
      <c r="M17" s="1">
        <v>1193.45</v>
      </c>
      <c r="N17" s="1">
        <v>587.995</v>
      </c>
      <c r="O17" s="1">
        <v>8507.5679999999993</v>
      </c>
    </row>
    <row r="18" spans="1:15" x14ac:dyDescent="0.45">
      <c r="A18" s="1" t="s">
        <v>12</v>
      </c>
      <c r="B18" s="1">
        <v>367.02300000000002</v>
      </c>
      <c r="C18" s="1">
        <v>17.39</v>
      </c>
      <c r="D18" s="1">
        <v>33.106999999999999</v>
      </c>
      <c r="E18" s="1">
        <v>76.338999999999999</v>
      </c>
      <c r="F18" s="1">
        <v>30.492000000000001</v>
      </c>
      <c r="G18" s="1">
        <v>106.831</v>
      </c>
      <c r="H18" s="1">
        <v>21.294</v>
      </c>
      <c r="I18" s="1">
        <v>10.646000000000001</v>
      </c>
      <c r="J18" s="1">
        <v>6.633</v>
      </c>
      <c r="K18" s="1">
        <v>4.1740000000000004</v>
      </c>
      <c r="L18" s="1">
        <v>2.0150000000000001</v>
      </c>
      <c r="M18" s="1">
        <v>18.167999999999999</v>
      </c>
      <c r="N18" s="1">
        <v>10.11</v>
      </c>
      <c r="O18" s="1">
        <v>147.46100000000001</v>
      </c>
    </row>
    <row r="19" spans="1:15" x14ac:dyDescent="0.45">
      <c r="A19" s="1" t="s">
        <v>16</v>
      </c>
      <c r="B19" s="1">
        <v>23237.616999999998</v>
      </c>
      <c r="C19" s="1">
        <v>1267.3979999999999</v>
      </c>
      <c r="D19" s="1">
        <v>2217.9560000000001</v>
      </c>
      <c r="E19" s="1">
        <v>6713.2560000000003</v>
      </c>
      <c r="F19" s="1">
        <v>1534.579</v>
      </c>
      <c r="G19" s="1">
        <v>8247.8349999999991</v>
      </c>
      <c r="H19" s="1">
        <v>706.42399999999998</v>
      </c>
      <c r="I19" s="1">
        <v>283.22800000000001</v>
      </c>
      <c r="J19" s="1">
        <v>166.352</v>
      </c>
      <c r="K19" s="1">
        <v>121.413</v>
      </c>
      <c r="L19" s="1">
        <v>58.933</v>
      </c>
      <c r="M19" s="1">
        <v>1213.58</v>
      </c>
      <c r="N19" s="1">
        <v>597.32100000000003</v>
      </c>
      <c r="O19" s="1">
        <v>8644.9410000000007</v>
      </c>
    </row>
    <row r="22" spans="1:15" x14ac:dyDescent="0.45">
      <c r="B22" s="24">
        <f>B12/(B12+B13+B14)</f>
        <v>9.8568754546717777E-2</v>
      </c>
      <c r="C22" s="24">
        <f t="shared" ref="C22:O22" si="0">C12/(C12+C13+C14)</f>
        <v>9.6256684491978592E-2</v>
      </c>
      <c r="D22" s="24">
        <f>D12/(D12+D13+D14)</f>
        <v>0.11816232216751744</v>
      </c>
      <c r="E22" s="24">
        <f t="shared" si="0"/>
        <v>5.4441373347830072E-2</v>
      </c>
      <c r="F22" s="24">
        <f t="shared" si="0"/>
        <v>0.14780926144562509</v>
      </c>
      <c r="G22" s="24">
        <f t="shared" si="0"/>
        <v>8.109069464855706E-2</v>
      </c>
      <c r="H22" s="24">
        <f t="shared" si="0"/>
        <v>0.50171401737497057</v>
      </c>
      <c r="I22" s="24">
        <f>I12/(I12+I13+I14)</f>
        <v>0.47900817131586365</v>
      </c>
      <c r="J22" s="24">
        <f t="shared" si="0"/>
        <v>0.4910296999849238</v>
      </c>
      <c r="K22" s="24">
        <f t="shared" si="0"/>
        <v>0.45855294681360809</v>
      </c>
      <c r="L22" s="24">
        <f t="shared" si="0"/>
        <v>0.30521091811414391</v>
      </c>
      <c r="M22" s="24">
        <f t="shared" si="0"/>
        <v>2.9942756494936155E-2</v>
      </c>
      <c r="N22" s="24">
        <f t="shared" si="0"/>
        <v>3.2934427850855506E-2</v>
      </c>
      <c r="O22" s="24">
        <f t="shared" si="0"/>
        <v>3.1560887285451748E-2</v>
      </c>
    </row>
    <row r="24" spans="1:15" x14ac:dyDescent="0.45">
      <c r="B24" t="s">
        <v>49</v>
      </c>
    </row>
    <row r="25" spans="1:15" x14ac:dyDescent="0.45">
      <c r="B25" t="s">
        <v>50</v>
      </c>
    </row>
  </sheetData>
  <autoFilter ref="A1:A24" xr:uid="{75B83053-3811-4353-B7EA-3AF3EF7A563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5739-E0C5-4AF0-9337-81A219333644}">
  <dimension ref="A1:O23"/>
  <sheetViews>
    <sheetView workbookViewId="0">
      <selection activeCell="D32" sqref="D32"/>
    </sheetView>
  </sheetViews>
  <sheetFormatPr defaultRowHeight="14.25" x14ac:dyDescent="0.45"/>
  <cols>
    <col min="1" max="1" width="20.86328125" customWidth="1"/>
  </cols>
  <sheetData>
    <row r="1" spans="1:15" x14ac:dyDescent="0.4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45">
      <c r="A2" s="2" t="s">
        <v>13</v>
      </c>
      <c r="B2" s="2">
        <v>239.155</v>
      </c>
      <c r="C2" s="2">
        <v>6.1390000000000002</v>
      </c>
      <c r="D2" s="2">
        <v>66.700999999999993</v>
      </c>
      <c r="E2" s="2">
        <v>15.157</v>
      </c>
      <c r="F2" s="2">
        <v>33.671999999999997</v>
      </c>
      <c r="G2" s="2">
        <v>48.83</v>
      </c>
      <c r="H2" s="2">
        <v>85.966999999999999</v>
      </c>
      <c r="I2" s="2">
        <v>10.760999999999999</v>
      </c>
      <c r="J2" s="2">
        <v>5.7779999999999996</v>
      </c>
      <c r="K2" s="2">
        <v>5.0979999999999999</v>
      </c>
      <c r="L2" s="2">
        <v>6.0179999999999998</v>
      </c>
      <c r="M2" s="2">
        <v>2.13</v>
      </c>
      <c r="N2" s="2">
        <v>0.57099999999999995</v>
      </c>
      <c r="O2">
        <v>12.04</v>
      </c>
    </row>
    <row r="3" spans="1:15" x14ac:dyDescent="0.45">
      <c r="A3" s="2" t="s">
        <v>14</v>
      </c>
      <c r="B3" s="2">
        <v>73.438999999999993</v>
      </c>
      <c r="C3" s="2">
        <v>7.0469999999999997</v>
      </c>
      <c r="D3" s="2">
        <v>4.9640000000000004</v>
      </c>
      <c r="E3" s="2">
        <v>4.9710000000000001</v>
      </c>
      <c r="F3" s="2">
        <v>4.8049999999999997</v>
      </c>
      <c r="G3" s="2">
        <v>9.7769999999999992</v>
      </c>
      <c r="H3" s="2">
        <v>7.25</v>
      </c>
      <c r="I3" s="2">
        <v>2.17</v>
      </c>
      <c r="J3" s="2">
        <v>0.81399999999999995</v>
      </c>
      <c r="K3" s="2">
        <v>1.3740000000000001</v>
      </c>
      <c r="L3" s="2">
        <v>3.2559999999999998</v>
      </c>
      <c r="M3" s="2">
        <v>2.4220000000000002</v>
      </c>
      <c r="N3" s="2">
        <v>0.626</v>
      </c>
      <c r="O3">
        <v>35.927</v>
      </c>
    </row>
    <row r="4" spans="1:15" x14ac:dyDescent="0.45">
      <c r="A4" s="2" t="s">
        <v>15</v>
      </c>
      <c r="B4" s="2">
        <v>834.80100000000004</v>
      </c>
      <c r="C4" s="2">
        <v>20.036999999999999</v>
      </c>
      <c r="D4" s="2">
        <v>150.53200000000001</v>
      </c>
      <c r="E4" s="2">
        <v>187.25299999999999</v>
      </c>
      <c r="F4" s="2">
        <v>39.887</v>
      </c>
      <c r="G4" s="2">
        <v>227.14</v>
      </c>
      <c r="H4" s="2">
        <v>14.912000000000001</v>
      </c>
      <c r="I4" s="2">
        <v>7.3369999999999997</v>
      </c>
      <c r="J4" s="2">
        <v>2.694</v>
      </c>
      <c r="K4" s="2">
        <v>4.7130000000000001</v>
      </c>
      <c r="L4" s="2">
        <v>5.9029999999999996</v>
      </c>
      <c r="M4" s="2">
        <v>38.317</v>
      </c>
      <c r="N4" s="2">
        <v>9.9429999999999996</v>
      </c>
      <c r="O4">
        <v>360.68099999999998</v>
      </c>
    </row>
    <row r="5" spans="1:15" x14ac:dyDescent="0.45">
      <c r="A5" s="2" t="s">
        <v>17</v>
      </c>
      <c r="B5" s="2">
        <v>2221.7080000000001</v>
      </c>
      <c r="C5" s="2">
        <v>70.100999999999999</v>
      </c>
      <c r="D5" s="2">
        <v>655.38400000000001</v>
      </c>
      <c r="E5" s="2">
        <v>119.68</v>
      </c>
      <c r="F5" s="2">
        <v>256.45499999999998</v>
      </c>
      <c r="G5" s="2">
        <v>376.13499999999999</v>
      </c>
      <c r="H5" s="2">
        <v>845.20299999999997</v>
      </c>
      <c r="I5" s="2">
        <v>82.718000000000004</v>
      </c>
      <c r="J5" s="2">
        <v>44.869</v>
      </c>
      <c r="K5" s="2">
        <v>38.648000000000003</v>
      </c>
      <c r="L5" s="2">
        <v>65.001999999999995</v>
      </c>
      <c r="M5" s="2">
        <v>22.548999999999999</v>
      </c>
      <c r="N5" s="2">
        <v>5.673</v>
      </c>
      <c r="O5">
        <v>98.944000000000003</v>
      </c>
    </row>
    <row r="6" spans="1:15" x14ac:dyDescent="0.45">
      <c r="A6" s="2" t="s">
        <v>18</v>
      </c>
      <c r="B6" s="2">
        <v>742.65</v>
      </c>
      <c r="C6" s="2">
        <v>66.492000000000004</v>
      </c>
      <c r="D6" s="2">
        <v>50.054000000000002</v>
      </c>
      <c r="E6" s="2">
        <v>49.631</v>
      </c>
      <c r="F6" s="2">
        <v>49.13</v>
      </c>
      <c r="G6" s="2">
        <v>98.760999999999996</v>
      </c>
      <c r="H6" s="2">
        <v>71.974999999999994</v>
      </c>
      <c r="I6" s="2">
        <v>19.161999999999999</v>
      </c>
      <c r="J6" s="2">
        <v>5.8559999999999999</v>
      </c>
      <c r="K6" s="2">
        <v>13.428000000000001</v>
      </c>
      <c r="L6" s="2">
        <v>30.181999999999999</v>
      </c>
      <c r="M6" s="2">
        <v>24.242000000000001</v>
      </c>
      <c r="N6" s="2">
        <v>4.149</v>
      </c>
      <c r="O6">
        <v>377.63299999999998</v>
      </c>
    </row>
    <row r="7" spans="1:15" x14ac:dyDescent="0.45">
      <c r="A7" s="2" t="s">
        <v>19</v>
      </c>
      <c r="B7" s="2">
        <v>109523.54700000001</v>
      </c>
      <c r="C7" s="2">
        <v>2467.0500000000002</v>
      </c>
      <c r="D7" s="2">
        <v>18031.313999999998</v>
      </c>
      <c r="E7" s="2">
        <v>27959.998</v>
      </c>
      <c r="F7" s="2">
        <v>2632.9140000000002</v>
      </c>
      <c r="G7" s="2">
        <v>30592.911</v>
      </c>
      <c r="H7" s="2">
        <v>956.51599999999996</v>
      </c>
      <c r="I7" s="2">
        <v>632.66700000000003</v>
      </c>
      <c r="J7" s="2">
        <v>120.54600000000001</v>
      </c>
      <c r="K7" s="2">
        <v>515.73800000000006</v>
      </c>
      <c r="L7" s="2">
        <v>205.44200000000001</v>
      </c>
      <c r="M7" s="2">
        <v>5473.0619999999999</v>
      </c>
      <c r="N7" s="2">
        <v>693.24099999999999</v>
      </c>
      <c r="O7">
        <v>50471.343999999997</v>
      </c>
    </row>
    <row r="8" spans="1:15" x14ac:dyDescent="0.45">
      <c r="A8" s="2" t="s">
        <v>12</v>
      </c>
      <c r="B8" s="2">
        <v>1147.395</v>
      </c>
      <c r="C8" s="2">
        <v>33.222999999999999</v>
      </c>
      <c r="D8" s="2">
        <v>222.197</v>
      </c>
      <c r="E8" s="2">
        <v>207.381</v>
      </c>
      <c r="F8" s="2">
        <v>78.364999999999995</v>
      </c>
      <c r="G8" s="2">
        <v>285.74599999999998</v>
      </c>
      <c r="H8" s="2">
        <v>108.129</v>
      </c>
      <c r="I8" s="2">
        <v>20.268000000000001</v>
      </c>
      <c r="J8" s="2">
        <v>9.2870000000000008</v>
      </c>
      <c r="K8" s="2">
        <v>11.185</v>
      </c>
      <c r="L8" s="2">
        <v>15.176</v>
      </c>
      <c r="M8" s="2">
        <v>42.869</v>
      </c>
      <c r="N8" s="2">
        <v>11.14</v>
      </c>
      <c r="O8">
        <v>408.64800000000002</v>
      </c>
    </row>
    <row r="9" spans="1:15" x14ac:dyDescent="0.45">
      <c r="A9" s="2" t="s">
        <v>16</v>
      </c>
      <c r="B9" s="2">
        <v>112487.905</v>
      </c>
      <c r="C9" s="2">
        <v>2603.643</v>
      </c>
      <c r="D9" s="2">
        <v>18736.751</v>
      </c>
      <c r="E9" s="2">
        <v>28129.308000000001</v>
      </c>
      <c r="F9" s="2">
        <v>2938.498</v>
      </c>
      <c r="G9" s="2">
        <v>31067.807000000001</v>
      </c>
      <c r="H9" s="2">
        <v>1873.694</v>
      </c>
      <c r="I9" s="2">
        <v>734.54700000000003</v>
      </c>
      <c r="J9" s="2">
        <v>171.27099999999999</v>
      </c>
      <c r="K9" s="2">
        <v>567.81500000000005</v>
      </c>
      <c r="L9" s="2">
        <v>300.62599999999998</v>
      </c>
      <c r="M9" s="2">
        <v>5519.8530000000001</v>
      </c>
      <c r="N9" s="2">
        <v>703.06299999999999</v>
      </c>
      <c r="O9">
        <v>50947.921000000002</v>
      </c>
    </row>
    <row r="11" spans="1:15" x14ac:dyDescent="0.45"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5" x14ac:dyDescent="0.45">
      <c r="A12" s="3" t="s">
        <v>13</v>
      </c>
      <c r="B12" s="2">
        <v>69.533000000000001</v>
      </c>
      <c r="C12" s="2">
        <v>2.36</v>
      </c>
      <c r="D12" s="2">
        <v>8.5079999999999991</v>
      </c>
      <c r="E12" s="2">
        <v>7.8380000000000001</v>
      </c>
      <c r="F12" s="2">
        <v>9.1560000000000006</v>
      </c>
      <c r="G12" s="2">
        <v>16.994</v>
      </c>
      <c r="H12" s="2">
        <v>24.803999999999998</v>
      </c>
      <c r="I12" s="2">
        <v>8.3249999999999993</v>
      </c>
      <c r="J12" s="2">
        <v>5.5830000000000002</v>
      </c>
      <c r="K12" s="2">
        <v>2.8570000000000002</v>
      </c>
      <c r="L12" s="2">
        <v>0.96299999999999997</v>
      </c>
      <c r="M12" s="2">
        <v>1.161</v>
      </c>
      <c r="N12" s="2">
        <v>0.54300000000000004</v>
      </c>
      <c r="O12" s="2">
        <v>5.8739999999999997</v>
      </c>
    </row>
    <row r="13" spans="1:15" x14ac:dyDescent="0.45">
      <c r="A13" s="3" t="s">
        <v>14</v>
      </c>
      <c r="B13" s="2">
        <v>25.914000000000001</v>
      </c>
      <c r="C13" s="2">
        <v>3.0419999999999998</v>
      </c>
      <c r="D13" s="2">
        <v>0.82399999999999995</v>
      </c>
      <c r="E13" s="2">
        <v>2.2429999999999999</v>
      </c>
      <c r="F13" s="2">
        <v>2.306</v>
      </c>
      <c r="G13" s="2">
        <v>4.5490000000000004</v>
      </c>
      <c r="H13" s="2">
        <v>3.04</v>
      </c>
      <c r="I13" s="2">
        <v>1.141</v>
      </c>
      <c r="J13" s="2">
        <v>0.76300000000000001</v>
      </c>
      <c r="K13" s="2">
        <v>0.39700000000000002</v>
      </c>
      <c r="L13" s="2">
        <v>0.16700000000000001</v>
      </c>
      <c r="M13" s="2">
        <v>1.089</v>
      </c>
      <c r="N13" s="2">
        <v>0.6</v>
      </c>
      <c r="O13" s="2">
        <v>11.461</v>
      </c>
    </row>
    <row r="14" spans="1:15" x14ac:dyDescent="0.45">
      <c r="A14" s="3" t="s">
        <v>15</v>
      </c>
      <c r="B14" s="2">
        <v>304.94600000000003</v>
      </c>
      <c r="C14" s="2">
        <v>12.678000000000001</v>
      </c>
      <c r="D14" s="2">
        <v>28.359000000000002</v>
      </c>
      <c r="E14" s="2">
        <v>69.953000000000003</v>
      </c>
      <c r="F14" s="2">
        <v>23.678000000000001</v>
      </c>
      <c r="G14" s="2">
        <v>93.631</v>
      </c>
      <c r="H14" s="2">
        <v>7.569</v>
      </c>
      <c r="I14" s="2">
        <v>4.4059999999999997</v>
      </c>
      <c r="J14" s="2">
        <v>2.6120000000000001</v>
      </c>
      <c r="K14" s="2">
        <v>1.8640000000000001</v>
      </c>
      <c r="L14" s="2">
        <v>1.2330000000000001</v>
      </c>
      <c r="M14" s="2">
        <v>16.533000000000001</v>
      </c>
      <c r="N14" s="2">
        <v>9.1679999999999993</v>
      </c>
      <c r="O14" s="2">
        <v>131.36799999999999</v>
      </c>
    </row>
    <row r="15" spans="1:15" x14ac:dyDescent="0.45">
      <c r="A15" s="3" t="s">
        <v>17</v>
      </c>
      <c r="B15" s="2">
        <v>585.66800000000001</v>
      </c>
      <c r="C15" s="2">
        <v>23.792000000000002</v>
      </c>
      <c r="D15" s="2">
        <v>71.89</v>
      </c>
      <c r="E15" s="2">
        <v>56.845999999999997</v>
      </c>
      <c r="F15" s="2">
        <v>65.298000000000002</v>
      </c>
      <c r="G15" s="2">
        <v>122.14400000000001</v>
      </c>
      <c r="H15" s="2">
        <v>241.489</v>
      </c>
      <c r="I15" s="2">
        <v>61.146000000000001</v>
      </c>
      <c r="J15" s="2">
        <v>43.08</v>
      </c>
      <c r="K15" s="2">
        <v>18.866</v>
      </c>
      <c r="L15" s="2">
        <v>9.282</v>
      </c>
      <c r="M15" s="2">
        <v>11.272</v>
      </c>
      <c r="N15" s="2">
        <v>5.33</v>
      </c>
      <c r="O15" s="2">
        <v>39.323</v>
      </c>
    </row>
    <row r="16" spans="1:15" x14ac:dyDescent="0.45">
      <c r="A16" s="3" t="s">
        <v>18</v>
      </c>
      <c r="B16" s="2">
        <v>215.56899999999999</v>
      </c>
      <c r="C16" s="2">
        <v>23.332000000000001</v>
      </c>
      <c r="D16" s="2">
        <v>7.07</v>
      </c>
      <c r="E16" s="2">
        <v>17.806000000000001</v>
      </c>
      <c r="F16" s="2">
        <v>19.728999999999999</v>
      </c>
      <c r="G16" s="2">
        <v>37.534999999999997</v>
      </c>
      <c r="H16" s="2">
        <v>27.577000000000002</v>
      </c>
      <c r="I16" s="2">
        <v>7.9189999999999996</v>
      </c>
      <c r="J16" s="2">
        <v>5.4729999999999999</v>
      </c>
      <c r="K16" s="2">
        <v>2.5680000000000001</v>
      </c>
      <c r="L16" s="2">
        <v>1.2150000000000001</v>
      </c>
      <c r="M16" s="2">
        <v>8.8620000000000001</v>
      </c>
      <c r="N16" s="2">
        <v>3.9980000000000002</v>
      </c>
      <c r="O16" s="2">
        <v>98.06</v>
      </c>
    </row>
    <row r="17" spans="1:15" x14ac:dyDescent="0.45">
      <c r="A17" s="3" t="s">
        <v>19</v>
      </c>
      <c r="B17" s="2">
        <v>22433.353999999999</v>
      </c>
      <c r="C17" s="2">
        <v>1219.32</v>
      </c>
      <c r="D17" s="2">
        <v>2138.4609999999998</v>
      </c>
      <c r="E17" s="2">
        <v>6638.0330000000004</v>
      </c>
      <c r="F17" s="2">
        <v>1449.5039999999999</v>
      </c>
      <c r="G17" s="2">
        <v>8087.5370000000003</v>
      </c>
      <c r="H17" s="2">
        <v>437.47899999999998</v>
      </c>
      <c r="I17" s="2">
        <v>214.51400000000001</v>
      </c>
      <c r="J17" s="2">
        <v>117.923</v>
      </c>
      <c r="K17" s="2">
        <v>100.208</v>
      </c>
      <c r="L17" s="2">
        <v>48.454000000000001</v>
      </c>
      <c r="M17" s="2">
        <v>1193.2660000000001</v>
      </c>
      <c r="N17" s="2">
        <v>587.03700000000003</v>
      </c>
      <c r="O17" s="2">
        <v>8507.2849999999999</v>
      </c>
    </row>
    <row r="18" spans="1:15" x14ac:dyDescent="0.45">
      <c r="A18" s="3" t="s">
        <v>12</v>
      </c>
      <c r="B18" s="2">
        <v>400.392</v>
      </c>
      <c r="C18" s="2">
        <v>18.079999999999998</v>
      </c>
      <c r="D18" s="2">
        <v>37.692</v>
      </c>
      <c r="E18" s="2">
        <v>80.034000000000006</v>
      </c>
      <c r="F18" s="2">
        <v>35.14</v>
      </c>
      <c r="G18" s="2">
        <v>115.17400000000001</v>
      </c>
      <c r="H18" s="2">
        <v>35.412999999999997</v>
      </c>
      <c r="I18" s="2">
        <v>13.872</v>
      </c>
      <c r="J18" s="2">
        <v>8.9580000000000002</v>
      </c>
      <c r="K18" s="2">
        <v>5.1180000000000003</v>
      </c>
      <c r="L18" s="2">
        <v>2.3639999999999999</v>
      </c>
      <c r="M18" s="2">
        <v>18.783000000000001</v>
      </c>
      <c r="N18" s="2">
        <v>10.311</v>
      </c>
      <c r="O18" s="2">
        <v>148.703</v>
      </c>
    </row>
    <row r="19" spans="1:15" x14ac:dyDescent="0.45">
      <c r="A19" s="3" t="s">
        <v>16</v>
      </c>
      <c r="B19" s="2">
        <v>23234.591</v>
      </c>
      <c r="C19" s="2">
        <v>1266.444</v>
      </c>
      <c r="D19" s="2">
        <v>2217.422</v>
      </c>
      <c r="E19" s="2">
        <v>6712.6850000000004</v>
      </c>
      <c r="F19" s="2">
        <v>1534.5309999999999</v>
      </c>
      <c r="G19" s="2">
        <v>8247.2160000000003</v>
      </c>
      <c r="H19" s="2">
        <v>706.54499999999996</v>
      </c>
      <c r="I19" s="2">
        <v>283.57900000000001</v>
      </c>
      <c r="J19" s="2">
        <v>166.477</v>
      </c>
      <c r="K19" s="2">
        <v>121.642</v>
      </c>
      <c r="L19" s="2">
        <v>58.951999999999998</v>
      </c>
      <c r="M19" s="2">
        <v>1213.4010000000001</v>
      </c>
      <c r="N19" s="2">
        <v>596.36500000000001</v>
      </c>
      <c r="O19" s="2">
        <v>8644.6669999999995</v>
      </c>
    </row>
    <row r="21" spans="1:15" x14ac:dyDescent="0.45">
      <c r="B21" s="1"/>
    </row>
    <row r="22" spans="1:15" x14ac:dyDescent="0.45">
      <c r="A22" t="s">
        <v>48</v>
      </c>
      <c r="B22" s="24">
        <f t="shared" ref="B22:O22" si="0">B12/(B12+B13+B14)</f>
        <v>0.17366187720564544</v>
      </c>
      <c r="C22" s="24">
        <f t="shared" si="0"/>
        <v>0.13053097345132744</v>
      </c>
      <c r="D22" s="24">
        <f>D12/(D12+D13+D14)</f>
        <v>0.22573028043830087</v>
      </c>
      <c r="E22" s="24">
        <f t="shared" si="0"/>
        <v>9.7933378314216446E-2</v>
      </c>
      <c r="F22" s="24">
        <f t="shared" si="0"/>
        <v>0.26055776892430282</v>
      </c>
      <c r="G22" s="24">
        <f t="shared" si="0"/>
        <v>0.14755066247590601</v>
      </c>
      <c r="H22" s="24">
        <f t="shared" si="0"/>
        <v>0.70042074944229527</v>
      </c>
      <c r="I22" s="24">
        <f t="shared" si="0"/>
        <v>0.60012975778546707</v>
      </c>
      <c r="J22" s="24">
        <f t="shared" si="0"/>
        <v>0.6232417950435365</v>
      </c>
      <c r="K22" s="24">
        <f t="shared" si="0"/>
        <v>0.55822586948026576</v>
      </c>
      <c r="L22" s="24">
        <f t="shared" si="0"/>
        <v>0.40753279729157849</v>
      </c>
      <c r="M22" s="24">
        <f t="shared" si="0"/>
        <v>6.1811212266411113E-2</v>
      </c>
      <c r="N22" s="24">
        <f t="shared" si="0"/>
        <v>5.266220541169625E-2</v>
      </c>
      <c r="O22" s="24">
        <f t="shared" si="0"/>
        <v>3.9501556794415714E-2</v>
      </c>
    </row>
    <row r="23" spans="1:15" x14ac:dyDescent="0.45">
      <c r="A23" t="s">
        <v>46</v>
      </c>
      <c r="B23" s="25">
        <f>High_BASE!B22-High_WOOD!B22</f>
        <v>-9.765292077294084E-2</v>
      </c>
      <c r="C23" s="25">
        <f>High_BASE!C22-High_WOOD!C22</f>
        <v>-0.12447096726758862</v>
      </c>
      <c r="D23" s="25">
        <f>High_BASE!D22-High_WOOD!D22</f>
        <v>-0.12614232730954583</v>
      </c>
      <c r="E23" s="25">
        <f>High_BASE!E22-High_WOOD!E22</f>
        <v>-5.9578855453662524E-2</v>
      </c>
      <c r="F23" s="25">
        <f>High_BASE!F22-High_WOOD!F22</f>
        <v>-0.14977373844623174</v>
      </c>
      <c r="G23" s="25">
        <f>High_BASE!G22-High_WOOD!G22</f>
        <v>-9.0254181551245399E-2</v>
      </c>
      <c r="H23" s="25">
        <f>High_BASE!H22-High_WOOD!H22</f>
        <v>-0.21405739894324538</v>
      </c>
      <c r="I23" s="25">
        <f>High_BASE!I22-High_WOOD!I22</f>
        <v>-0.12989608325268215</v>
      </c>
      <c r="J23" s="25">
        <f>High_BASE!J22-High_WOOD!J22</f>
        <v>-0.13916435768419139</v>
      </c>
      <c r="K23" s="25">
        <f>High_BASE!K22-High_WOOD!K22</f>
        <v>-0.11197937257802687</v>
      </c>
      <c r="L23" s="25">
        <f>High_BASE!L22-High_WOOD!L22</f>
        <v>-0.12816291744681191</v>
      </c>
      <c r="M23" s="25">
        <f>High_BASE!M22-High_WOOD!M22</f>
        <v>-4.300349363654591E-2</v>
      </c>
      <c r="N23" s="25">
        <f>High_BASE!N22-High_WOOD!N22</f>
        <v>-3.5524763606047623E-2</v>
      </c>
      <c r="O23" s="25">
        <f>High_BASE!O22-High_WOOD!O22</f>
        <v>-2.1962031230907252E-2</v>
      </c>
    </row>
  </sheetData>
  <autoFilter ref="A1:A19" xr:uid="{36E65739-E0C5-4AF0-9337-81A219333644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12FF-F0B5-4BC7-A66D-468DBD27FA40}">
  <dimension ref="A1:O25"/>
  <sheetViews>
    <sheetView workbookViewId="0">
      <selection activeCell="A22" sqref="A22:O23"/>
    </sheetView>
  </sheetViews>
  <sheetFormatPr defaultRowHeight="14.25" x14ac:dyDescent="0.45"/>
  <cols>
    <col min="1" max="1" width="26.33203125" customWidth="1"/>
  </cols>
  <sheetData>
    <row r="1" spans="1:15" x14ac:dyDescent="0.4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45">
      <c r="A2" t="s">
        <v>13</v>
      </c>
      <c r="B2">
        <v>270.69600000000003</v>
      </c>
      <c r="C2">
        <v>11.224</v>
      </c>
      <c r="D2">
        <v>71.325999999999993</v>
      </c>
      <c r="E2">
        <v>18.358000000000001</v>
      </c>
      <c r="F2">
        <v>39.225999999999999</v>
      </c>
      <c r="G2">
        <v>57.584000000000003</v>
      </c>
      <c r="H2">
        <v>88.989000000000004</v>
      </c>
      <c r="I2">
        <v>11.608000000000001</v>
      </c>
      <c r="J2">
        <v>5.9450000000000003</v>
      </c>
      <c r="K2">
        <v>5.7809999999999997</v>
      </c>
      <c r="L2">
        <v>6.5830000000000002</v>
      </c>
      <c r="M2">
        <v>2.6</v>
      </c>
      <c r="N2">
        <v>0.75700000000000001</v>
      </c>
      <c r="O2">
        <v>20.027000000000001</v>
      </c>
    </row>
    <row r="3" spans="1:15" x14ac:dyDescent="0.45">
      <c r="A3" t="s">
        <v>14</v>
      </c>
      <c r="B3">
        <v>73.430999999999997</v>
      </c>
      <c r="C3">
        <v>7.0430000000000001</v>
      </c>
      <c r="D3">
        <v>4.9649999999999999</v>
      </c>
      <c r="E3">
        <v>4.9710000000000001</v>
      </c>
      <c r="F3">
        <v>4.8049999999999997</v>
      </c>
      <c r="G3">
        <v>9.7769999999999992</v>
      </c>
      <c r="H3">
        <v>7.25</v>
      </c>
      <c r="I3">
        <v>2.169</v>
      </c>
      <c r="J3">
        <v>0.81399999999999995</v>
      </c>
      <c r="K3">
        <v>1.3740000000000001</v>
      </c>
      <c r="L3">
        <v>3.2559999999999998</v>
      </c>
      <c r="M3">
        <v>2.4220000000000002</v>
      </c>
      <c r="N3">
        <v>0.626</v>
      </c>
      <c r="O3">
        <v>35.923000000000002</v>
      </c>
    </row>
    <row r="4" spans="1:15" x14ac:dyDescent="0.45">
      <c r="A4" t="s">
        <v>15</v>
      </c>
      <c r="B4">
        <v>834.73099999999999</v>
      </c>
      <c r="C4">
        <v>20.013999999999999</v>
      </c>
      <c r="D4">
        <v>150.52600000000001</v>
      </c>
      <c r="E4">
        <v>187.24199999999999</v>
      </c>
      <c r="F4">
        <v>39.881</v>
      </c>
      <c r="G4">
        <v>227.12299999999999</v>
      </c>
      <c r="H4">
        <v>14.904</v>
      </c>
      <c r="I4">
        <v>7.3310000000000004</v>
      </c>
      <c r="J4">
        <v>2.6930000000000001</v>
      </c>
      <c r="K4">
        <v>4.7089999999999996</v>
      </c>
      <c r="L4">
        <v>5.8979999999999997</v>
      </c>
      <c r="M4">
        <v>38.331000000000003</v>
      </c>
      <c r="N4">
        <v>9.9429999999999996</v>
      </c>
      <c r="O4">
        <v>360.661</v>
      </c>
    </row>
    <row r="5" spans="1:15" x14ac:dyDescent="0.45">
      <c r="A5" t="s">
        <v>17</v>
      </c>
      <c r="B5">
        <v>2221.71</v>
      </c>
      <c r="C5">
        <v>70.097999999999999</v>
      </c>
      <c r="D5">
        <v>655.36599999999999</v>
      </c>
      <c r="E5">
        <v>119.68</v>
      </c>
      <c r="F5">
        <v>256.45600000000002</v>
      </c>
      <c r="G5">
        <v>376.13600000000002</v>
      </c>
      <c r="H5">
        <v>845.22199999999998</v>
      </c>
      <c r="I5">
        <v>82.715999999999994</v>
      </c>
      <c r="J5">
        <v>44.869</v>
      </c>
      <c r="K5">
        <v>38.646000000000001</v>
      </c>
      <c r="L5">
        <v>65.004000000000005</v>
      </c>
      <c r="M5">
        <v>22.548999999999999</v>
      </c>
      <c r="N5">
        <v>5.6740000000000004</v>
      </c>
      <c r="O5">
        <v>98.944999999999993</v>
      </c>
    </row>
    <row r="6" spans="1:15" x14ac:dyDescent="0.45">
      <c r="A6" t="s">
        <v>18</v>
      </c>
      <c r="B6">
        <v>742.65200000000004</v>
      </c>
      <c r="C6">
        <v>66.495000000000005</v>
      </c>
      <c r="D6">
        <v>50.054000000000002</v>
      </c>
      <c r="E6">
        <v>49.63</v>
      </c>
      <c r="F6">
        <v>49.133000000000003</v>
      </c>
      <c r="G6">
        <v>98.762</v>
      </c>
      <c r="H6">
        <v>71.972999999999999</v>
      </c>
      <c r="I6">
        <v>19.16</v>
      </c>
      <c r="J6">
        <v>5.8559999999999999</v>
      </c>
      <c r="K6">
        <v>13.427</v>
      </c>
      <c r="L6">
        <v>30.181999999999999</v>
      </c>
      <c r="M6">
        <v>24.245000000000001</v>
      </c>
      <c r="N6">
        <v>4.149</v>
      </c>
      <c r="O6">
        <v>377.63099999999997</v>
      </c>
    </row>
    <row r="7" spans="1:15" x14ac:dyDescent="0.45">
      <c r="A7" t="s">
        <v>19</v>
      </c>
      <c r="B7">
        <v>109517.791</v>
      </c>
      <c r="C7">
        <v>2465.277</v>
      </c>
      <c r="D7">
        <v>18027.934000000001</v>
      </c>
      <c r="E7">
        <v>27959.651000000002</v>
      </c>
      <c r="F7">
        <v>2632.76</v>
      </c>
      <c r="G7">
        <v>30592.411</v>
      </c>
      <c r="H7">
        <v>956.00800000000004</v>
      </c>
      <c r="I7">
        <v>631.79200000000003</v>
      </c>
      <c r="J7">
        <v>120.28</v>
      </c>
      <c r="K7">
        <v>515.11800000000005</v>
      </c>
      <c r="L7">
        <v>205.32499999999999</v>
      </c>
      <c r="M7">
        <v>5474.8829999999998</v>
      </c>
      <c r="N7">
        <v>692.86800000000005</v>
      </c>
      <c r="O7">
        <v>50471.294000000002</v>
      </c>
    </row>
    <row r="8" spans="1:15" x14ac:dyDescent="0.45">
      <c r="A8" t="s">
        <v>12</v>
      </c>
      <c r="B8">
        <v>1178.8579999999999</v>
      </c>
      <c r="C8">
        <v>38.280999999999999</v>
      </c>
      <c r="D8">
        <v>226.816</v>
      </c>
      <c r="E8">
        <v>210.571</v>
      </c>
      <c r="F8">
        <v>83.912000000000006</v>
      </c>
      <c r="G8">
        <v>294.48399999999998</v>
      </c>
      <c r="H8">
        <v>111.143</v>
      </c>
      <c r="I8">
        <v>21.108000000000001</v>
      </c>
      <c r="J8">
        <v>9.452</v>
      </c>
      <c r="K8">
        <v>11.864000000000001</v>
      </c>
      <c r="L8">
        <v>15.737</v>
      </c>
      <c r="M8">
        <v>43.351999999999997</v>
      </c>
      <c r="N8">
        <v>11.326000000000001</v>
      </c>
      <c r="O8">
        <v>416.61099999999999</v>
      </c>
    </row>
    <row r="9" spans="1:15" x14ac:dyDescent="0.45">
      <c r="A9" t="s">
        <v>16</v>
      </c>
      <c r="B9">
        <v>112482.15300000001</v>
      </c>
      <c r="C9">
        <v>2601.87</v>
      </c>
      <c r="D9">
        <v>18733.353999999999</v>
      </c>
      <c r="E9">
        <v>28128.960999999999</v>
      </c>
      <c r="F9">
        <v>2938.3490000000002</v>
      </c>
      <c r="G9">
        <v>31067.31</v>
      </c>
      <c r="H9">
        <v>1873.203</v>
      </c>
      <c r="I9">
        <v>733.66800000000001</v>
      </c>
      <c r="J9">
        <v>171.005</v>
      </c>
      <c r="K9">
        <v>567.19100000000003</v>
      </c>
      <c r="L9">
        <v>300.51100000000002</v>
      </c>
      <c r="M9">
        <v>5521.6760000000004</v>
      </c>
      <c r="N9">
        <v>702.69</v>
      </c>
      <c r="O9">
        <v>50947.87</v>
      </c>
    </row>
    <row r="11" spans="1:15" x14ac:dyDescent="0.45"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5" x14ac:dyDescent="0.45">
      <c r="A12" t="s">
        <v>13</v>
      </c>
      <c r="B12">
        <v>80.766999999999996</v>
      </c>
      <c r="C12">
        <v>4.4470000000000001</v>
      </c>
      <c r="D12">
        <v>9.4369999999999994</v>
      </c>
      <c r="E12">
        <v>9.2889999999999997</v>
      </c>
      <c r="F12">
        <v>11.007</v>
      </c>
      <c r="G12">
        <v>20.297000000000001</v>
      </c>
      <c r="H12">
        <v>26.704000000000001</v>
      </c>
      <c r="I12">
        <v>8.6300000000000008</v>
      </c>
      <c r="J12">
        <v>5.7480000000000002</v>
      </c>
      <c r="K12">
        <v>3.0009999999999999</v>
      </c>
      <c r="L12">
        <v>1.07</v>
      </c>
      <c r="M12">
        <v>1.387</v>
      </c>
      <c r="N12">
        <v>0.71799999999999997</v>
      </c>
      <c r="O12">
        <v>8.0779999999999994</v>
      </c>
    </row>
    <row r="13" spans="1:15" x14ac:dyDescent="0.45">
      <c r="A13" t="s">
        <v>14</v>
      </c>
      <c r="B13">
        <v>25.91</v>
      </c>
      <c r="C13">
        <v>3.0390000000000001</v>
      </c>
      <c r="D13">
        <v>0.82399999999999995</v>
      </c>
      <c r="E13">
        <v>2.2429999999999999</v>
      </c>
      <c r="F13">
        <v>2.306</v>
      </c>
      <c r="G13">
        <v>4.5490000000000004</v>
      </c>
      <c r="H13">
        <v>3.04</v>
      </c>
      <c r="I13">
        <v>1.141</v>
      </c>
      <c r="J13">
        <v>0.76300000000000001</v>
      </c>
      <c r="K13">
        <v>0.39700000000000002</v>
      </c>
      <c r="L13">
        <v>0.16700000000000001</v>
      </c>
      <c r="M13">
        <v>1.089</v>
      </c>
      <c r="N13">
        <v>0.6</v>
      </c>
      <c r="O13">
        <v>11.46</v>
      </c>
    </row>
    <row r="14" spans="1:15" x14ac:dyDescent="0.45">
      <c r="A14" t="s">
        <v>15</v>
      </c>
      <c r="B14">
        <v>304.93400000000003</v>
      </c>
      <c r="C14">
        <v>12.661</v>
      </c>
      <c r="D14">
        <v>28.367000000000001</v>
      </c>
      <c r="E14">
        <v>69.936000000000007</v>
      </c>
      <c r="F14">
        <v>23.675000000000001</v>
      </c>
      <c r="G14">
        <v>93.611000000000004</v>
      </c>
      <c r="H14">
        <v>7.5640000000000001</v>
      </c>
      <c r="I14">
        <v>4.4020000000000001</v>
      </c>
      <c r="J14">
        <v>2.61</v>
      </c>
      <c r="K14">
        <v>1.8620000000000001</v>
      </c>
      <c r="L14">
        <v>1.232</v>
      </c>
      <c r="M14">
        <v>16.538</v>
      </c>
      <c r="N14">
        <v>9.17</v>
      </c>
      <c r="O14">
        <v>131.38800000000001</v>
      </c>
    </row>
    <row r="15" spans="1:15" x14ac:dyDescent="0.45">
      <c r="A15" t="s">
        <v>17</v>
      </c>
      <c r="B15">
        <v>585.65499999999997</v>
      </c>
      <c r="C15">
        <v>23.791</v>
      </c>
      <c r="D15">
        <v>71.891000000000005</v>
      </c>
      <c r="E15">
        <v>56.844000000000001</v>
      </c>
      <c r="F15">
        <v>65.295000000000002</v>
      </c>
      <c r="G15">
        <v>122.139</v>
      </c>
      <c r="H15">
        <v>241.47900000000001</v>
      </c>
      <c r="I15">
        <v>61.146000000000001</v>
      </c>
      <c r="J15">
        <v>43.08</v>
      </c>
      <c r="K15">
        <v>18.866</v>
      </c>
      <c r="L15">
        <v>9.2799999999999994</v>
      </c>
      <c r="M15">
        <v>11.272</v>
      </c>
      <c r="N15">
        <v>5.3310000000000004</v>
      </c>
      <c r="O15">
        <v>39.323999999999998</v>
      </c>
    </row>
    <row r="16" spans="1:15" x14ac:dyDescent="0.45">
      <c r="A16" t="s">
        <v>18</v>
      </c>
      <c r="B16">
        <v>215.553</v>
      </c>
      <c r="C16">
        <v>23.324999999999999</v>
      </c>
      <c r="D16">
        <v>7.0709999999999997</v>
      </c>
      <c r="E16">
        <v>17.805</v>
      </c>
      <c r="F16">
        <v>19.728000000000002</v>
      </c>
      <c r="G16">
        <v>37.533000000000001</v>
      </c>
      <c r="H16">
        <v>27.576000000000001</v>
      </c>
      <c r="I16">
        <v>7.9189999999999996</v>
      </c>
      <c r="J16">
        <v>5.4729999999999999</v>
      </c>
      <c r="K16">
        <v>2.5680000000000001</v>
      </c>
      <c r="L16">
        <v>1.216</v>
      </c>
      <c r="M16">
        <v>8.8620000000000001</v>
      </c>
      <c r="N16">
        <v>3.9980000000000002</v>
      </c>
      <c r="O16">
        <v>98.054000000000002</v>
      </c>
    </row>
    <row r="17" spans="1:15" x14ac:dyDescent="0.45">
      <c r="A17" t="s">
        <v>19</v>
      </c>
      <c r="B17">
        <v>22430.916000000001</v>
      </c>
      <c r="C17">
        <v>1218.3630000000001</v>
      </c>
      <c r="D17">
        <v>2137.8409999999999</v>
      </c>
      <c r="E17">
        <v>6636.8230000000003</v>
      </c>
      <c r="F17">
        <v>1449.4010000000001</v>
      </c>
      <c r="G17">
        <v>8086.2240000000002</v>
      </c>
      <c r="H17">
        <v>437.28699999999998</v>
      </c>
      <c r="I17">
        <v>214.02199999999999</v>
      </c>
      <c r="J17">
        <v>117.65900000000001</v>
      </c>
      <c r="K17">
        <v>99.968000000000004</v>
      </c>
      <c r="L17">
        <v>48.406999999999996</v>
      </c>
      <c r="M17">
        <v>1193.5550000000001</v>
      </c>
      <c r="N17">
        <v>587.36500000000001</v>
      </c>
      <c r="O17">
        <v>8507.8520000000008</v>
      </c>
    </row>
    <row r="18" spans="1:15" x14ac:dyDescent="0.45">
      <c r="A18" t="s">
        <v>12</v>
      </c>
      <c r="B18">
        <v>411.61200000000002</v>
      </c>
      <c r="C18">
        <v>20.146999999999998</v>
      </c>
      <c r="D18">
        <v>38.628</v>
      </c>
      <c r="E18">
        <v>81.468000000000004</v>
      </c>
      <c r="F18">
        <v>36.988</v>
      </c>
      <c r="G18">
        <v>118.456</v>
      </c>
      <c r="H18">
        <v>37.308</v>
      </c>
      <c r="I18">
        <v>14.173999999999999</v>
      </c>
      <c r="J18">
        <v>9.1210000000000004</v>
      </c>
      <c r="K18">
        <v>5.26</v>
      </c>
      <c r="L18">
        <v>2.4689999999999999</v>
      </c>
      <c r="M18">
        <v>19.013999999999999</v>
      </c>
      <c r="N18">
        <v>10.488</v>
      </c>
      <c r="O18">
        <v>150.92699999999999</v>
      </c>
    </row>
    <row r="19" spans="1:15" x14ac:dyDescent="0.45">
      <c r="A19" t="s">
        <v>16</v>
      </c>
      <c r="B19">
        <v>23232.124</v>
      </c>
      <c r="C19">
        <v>1265.48</v>
      </c>
      <c r="D19">
        <v>2216.8029999999999</v>
      </c>
      <c r="E19">
        <v>6711.4719999999998</v>
      </c>
      <c r="F19">
        <v>1534.425</v>
      </c>
      <c r="G19">
        <v>8245.8970000000008</v>
      </c>
      <c r="H19">
        <v>706.34100000000001</v>
      </c>
      <c r="I19">
        <v>283.08699999999999</v>
      </c>
      <c r="J19">
        <v>166.21199999999999</v>
      </c>
      <c r="K19">
        <v>121.402</v>
      </c>
      <c r="L19">
        <v>58.902999999999999</v>
      </c>
      <c r="M19">
        <v>1213.69</v>
      </c>
      <c r="N19">
        <v>596.69399999999996</v>
      </c>
      <c r="O19">
        <v>8645.2289999999994</v>
      </c>
    </row>
    <row r="22" spans="1:15" x14ac:dyDescent="0.45">
      <c r="A22" t="s">
        <v>48</v>
      </c>
      <c r="B22" s="24">
        <f t="shared" ref="B22:O22" si="0">B12/(B12+B13+B14)</f>
        <v>0.19622167531965862</v>
      </c>
      <c r="C22" s="24">
        <f t="shared" si="0"/>
        <v>0.22072765175956721</v>
      </c>
      <c r="D22" s="24">
        <f>D12/(D12+D13+D14)</f>
        <v>0.24430464947706326</v>
      </c>
      <c r="E22" s="24">
        <f t="shared" si="0"/>
        <v>0.1140202288014926</v>
      </c>
      <c r="F22" s="24">
        <f t="shared" si="0"/>
        <v>0.29758299989185683</v>
      </c>
      <c r="G22" s="24">
        <f t="shared" si="0"/>
        <v>0.17134487619980246</v>
      </c>
      <c r="H22" s="24">
        <f t="shared" si="0"/>
        <v>0.71577141631821595</v>
      </c>
      <c r="I22" s="24">
        <f t="shared" si="0"/>
        <v>0.6089042545685458</v>
      </c>
      <c r="J22" s="24">
        <f t="shared" si="0"/>
        <v>0.63019405766911518</v>
      </c>
      <c r="K22" s="24">
        <f t="shared" si="0"/>
        <v>0.57053231939163496</v>
      </c>
      <c r="L22" s="24">
        <f t="shared" si="0"/>
        <v>0.43337383556095582</v>
      </c>
      <c r="M22" s="24">
        <f t="shared" si="0"/>
        <v>7.2946250131482065E-2</v>
      </c>
      <c r="N22" s="24">
        <f t="shared" si="0"/>
        <v>6.8459191456903129E-2</v>
      </c>
      <c r="O22" s="24">
        <f t="shared" si="0"/>
        <v>5.3522918516359E-2</v>
      </c>
    </row>
    <row r="23" spans="1:15" x14ac:dyDescent="0.45">
      <c r="A23" t="s">
        <v>46</v>
      </c>
      <c r="B23" s="25">
        <f>High_BASE!B22-High_WOOD!B22</f>
        <v>-9.765292077294084E-2</v>
      </c>
      <c r="C23" s="25">
        <f>High_BASE!C22-High_WOOD!C22</f>
        <v>-0.12447096726758862</v>
      </c>
      <c r="D23" s="25">
        <f>High_BASE!D22-High_WOOD!D22</f>
        <v>-0.12614232730954583</v>
      </c>
      <c r="E23" s="25">
        <f>High_BASE!E22-High_WOOD!E22</f>
        <v>-5.9578855453662524E-2</v>
      </c>
      <c r="F23" s="25">
        <f>High_BASE!F22-High_WOOD!F22</f>
        <v>-0.14977373844623174</v>
      </c>
      <c r="G23" s="25">
        <f>High_BASE!G22-High_WOOD!G22</f>
        <v>-9.0254181551245399E-2</v>
      </c>
      <c r="H23" s="25">
        <f>High_BASE!H22-High_WOOD!H22</f>
        <v>-0.21405739894324538</v>
      </c>
      <c r="I23" s="25">
        <f>High_BASE!I22-High_WOOD!I22</f>
        <v>-0.12989608325268215</v>
      </c>
      <c r="J23" s="25">
        <f>High_BASE!J22-High_WOOD!J22</f>
        <v>-0.13916435768419139</v>
      </c>
      <c r="K23" s="25">
        <f>High_BASE!K22-High_WOOD!K22</f>
        <v>-0.11197937257802687</v>
      </c>
      <c r="L23" s="25">
        <f>High_BASE!L22-High_WOOD!L22</f>
        <v>-0.12816291744681191</v>
      </c>
      <c r="M23" s="25">
        <f>High_BASE!M22-High_WOOD!M22</f>
        <v>-4.300349363654591E-2</v>
      </c>
      <c r="N23" s="25">
        <f>High_BASE!N22-High_WOOD!N22</f>
        <v>-3.5524763606047623E-2</v>
      </c>
      <c r="O23" s="25">
        <f>High_BASE!O22-High_WOOD!O22</f>
        <v>-2.1962031230907252E-2</v>
      </c>
    </row>
    <row r="24" spans="1:15" x14ac:dyDescent="0.45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1:15" x14ac:dyDescent="0.45">
      <c r="A25" t="s">
        <v>47</v>
      </c>
      <c r="B25" s="24">
        <f>1-(B12/High_BASE!B12)</f>
        <v>-1.2325510683583492</v>
      </c>
      <c r="C25" s="24">
        <f>1-(C12/High_BASE!C12)</f>
        <v>-1.6565113500597373</v>
      </c>
      <c r="D25" s="24">
        <f>1-(D12/High_BASE!D12)</f>
        <v>-1.4123210633946828</v>
      </c>
      <c r="E25" s="24">
        <f>1-(E12/High_BASE!E12)</f>
        <v>-1.2350818094321463</v>
      </c>
      <c r="F25" s="24">
        <f>1-(F12/High_BASE!F12)</f>
        <v>-1.4422010206345686</v>
      </c>
      <c r="G25" s="24">
        <f>1-(G12/High_BASE!G12)</f>
        <v>-1.3429527877178806</v>
      </c>
      <c r="H25" s="24">
        <f>1-(H12/High_BASE!H12)</f>
        <v>-1.4994384125795586</v>
      </c>
      <c r="I25" s="24">
        <f>1-(I12/High_BASE!I12)</f>
        <v>-0.69215686274509824</v>
      </c>
      <c r="J25" s="24">
        <f>1-(J12/High_BASE!J12)</f>
        <v>-0.76481424623887007</v>
      </c>
      <c r="K25" s="24">
        <f>1-(K12/High_BASE!K12)</f>
        <v>-0.56792058516196442</v>
      </c>
      <c r="L25" s="24">
        <f>1-(L12/High_BASE!L12)</f>
        <v>-0.73983739837398388</v>
      </c>
      <c r="M25" s="24">
        <f>1-(M12/High_BASE!M12)</f>
        <v>-1.5496323529411762</v>
      </c>
      <c r="N25" s="24">
        <f>1-(N12/High_BASE!N12)</f>
        <v>-1.1561561561561557</v>
      </c>
      <c r="O25" s="24">
        <f>1-(O12/High_BASE!O12)</f>
        <v>-0.73571121615814339</v>
      </c>
    </row>
  </sheetData>
  <autoFilter ref="A1:A19" xr:uid="{03B112FF-F0B5-4BC7-A66D-468DBD27FA4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F8FA-682E-45B4-86EF-CD8348451BD0}">
  <sheetPr filterMode="1"/>
  <dimension ref="A1:Q102"/>
  <sheetViews>
    <sheetView workbookViewId="0">
      <selection activeCell="D90" sqref="D90:E90"/>
    </sheetView>
  </sheetViews>
  <sheetFormatPr defaultColWidth="9.1328125" defaultRowHeight="14.25" x14ac:dyDescent="0.45"/>
  <cols>
    <col min="1" max="1" width="12.86328125" bestFit="1" customWidth="1"/>
    <col min="2" max="2" width="14.1328125" customWidth="1"/>
    <col min="3" max="3" width="22.3984375" customWidth="1"/>
    <col min="4" max="4" width="18" style="13" bestFit="1" customWidth="1"/>
    <col min="5" max="6" width="16.86328125" bestFit="1" customWidth="1"/>
    <col min="7" max="8" width="13.86328125" bestFit="1" customWidth="1"/>
    <col min="9" max="9" width="16.3984375" bestFit="1" customWidth="1"/>
    <col min="10" max="10" width="17" bestFit="1" customWidth="1"/>
    <col min="11" max="11" width="17.265625" bestFit="1" customWidth="1"/>
    <col min="12" max="12" width="18.59765625" bestFit="1" customWidth="1"/>
    <col min="13" max="13" width="19.1328125" bestFit="1" customWidth="1"/>
    <col min="14" max="14" width="17" bestFit="1" customWidth="1"/>
    <col min="15" max="15" width="17.265625" bestFit="1" customWidth="1"/>
    <col min="16" max="16" width="14.1328125" bestFit="1" customWidth="1"/>
    <col min="17" max="17" width="17.3984375" bestFit="1" customWidth="1"/>
  </cols>
  <sheetData>
    <row r="1" spans="1:17" x14ac:dyDescent="0.45">
      <c r="A1" s="7" t="s">
        <v>37</v>
      </c>
      <c r="B1" s="7" t="s">
        <v>38</v>
      </c>
      <c r="C1" s="8" t="s">
        <v>0</v>
      </c>
      <c r="D1" s="7" t="s">
        <v>20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21</v>
      </c>
      <c r="M1" s="7" t="s">
        <v>22</v>
      </c>
      <c r="N1" s="7" t="s">
        <v>8</v>
      </c>
      <c r="O1" s="7" t="s">
        <v>9</v>
      </c>
      <c r="P1" s="7" t="s">
        <v>10</v>
      </c>
      <c r="Q1" s="7" t="s">
        <v>11</v>
      </c>
    </row>
    <row r="2" spans="1:17" hidden="1" x14ac:dyDescent="0.45">
      <c r="A2" s="9" t="s">
        <v>39</v>
      </c>
      <c r="B2" s="9" t="s">
        <v>40</v>
      </c>
      <c r="C2" s="9" t="s">
        <v>13</v>
      </c>
      <c r="D2" s="14">
        <v>3.6253710009941403E-2</v>
      </c>
      <c r="E2" s="14">
        <v>1.5968914682062639E-3</v>
      </c>
      <c r="F2" s="14">
        <v>3.024099693369523E-3</v>
      </c>
      <c r="G2" s="14">
        <v>4.5489071921214399E-3</v>
      </c>
      <c r="H2" s="14">
        <v>4.8854303096316394E-3</v>
      </c>
      <c r="I2" s="14">
        <v>9.434337501753081E-3</v>
      </c>
      <c r="J2" s="14">
        <v>1.1179376347665349E-2</v>
      </c>
      <c r="K2" s="14">
        <v>5.1294588185702714E-3</v>
      </c>
      <c r="L2" s="14">
        <v>5.1294588185702714E-3</v>
      </c>
      <c r="M2" s="14">
        <v>5.1294588185702714E-3</v>
      </c>
      <c r="N2" s="14">
        <v>5.235988184864878E-4</v>
      </c>
      <c r="O2" s="14">
        <v>4.6931016646007811E-4</v>
      </c>
      <c r="P2" s="14">
        <v>3.2628323561326161E-4</v>
      </c>
      <c r="Q2" s="14">
        <v>4.5703539598170792E-3</v>
      </c>
    </row>
    <row r="3" spans="1:17" s="9" customFormat="1" hidden="1" x14ac:dyDescent="0.45">
      <c r="A3" s="9" t="s">
        <v>41</v>
      </c>
      <c r="B3" s="9" t="s">
        <v>40</v>
      </c>
      <c r="C3" s="9" t="s">
        <v>13</v>
      </c>
      <c r="D3" s="14">
        <v>7.568871042373837E-2</v>
      </c>
      <c r="E3" s="14">
        <v>4.2505395151397427E-3</v>
      </c>
      <c r="F3" s="14">
        <v>7.0888840937672381E-3</v>
      </c>
      <c r="G3" s="14">
        <v>1.033029482092594E-2</v>
      </c>
      <c r="H3" s="14">
        <v>1.111884685649853E-2</v>
      </c>
      <c r="I3" s="14">
        <v>2.1449141677424469E-2</v>
      </c>
      <c r="J3" s="14">
        <v>2.3351954801990989E-2</v>
      </c>
      <c r="K3" s="14">
        <v>7.9184604712925419E-3</v>
      </c>
      <c r="L3" s="14">
        <v>7.9184604712925419E-3</v>
      </c>
      <c r="M3" s="14">
        <v>7.9184604712925419E-3</v>
      </c>
      <c r="N3" s="14">
        <v>8.3099477802881601E-4</v>
      </c>
      <c r="O3" s="14">
        <v>1.230135904755179E-3</v>
      </c>
      <c r="P3" s="14">
        <v>7.2680325374188703E-4</v>
      </c>
      <c r="Q3" s="14">
        <v>8.8417959275975053E-3</v>
      </c>
    </row>
    <row r="4" spans="1:17" hidden="1" x14ac:dyDescent="0.45">
      <c r="A4" s="9" t="s">
        <v>39</v>
      </c>
      <c r="B4" s="9" t="s">
        <v>42</v>
      </c>
      <c r="C4" s="9" t="s">
        <v>13</v>
      </c>
      <c r="D4" s="14">
        <v>2.8831398767875389E-2</v>
      </c>
      <c r="E4" s="14">
        <v>1.1937339265956121E-3</v>
      </c>
      <c r="F4" s="14">
        <v>2.4025236921416328E-3</v>
      </c>
      <c r="G4" s="14">
        <v>3.8585243960812051E-3</v>
      </c>
      <c r="H4" s="14">
        <v>3.785535378575869E-3</v>
      </c>
      <c r="I4" s="14">
        <v>7.6440597746570754E-3</v>
      </c>
      <c r="J4" s="14">
        <v>8.2715453235744519E-3</v>
      </c>
      <c r="K4" s="14">
        <v>3.7500823073096691E-3</v>
      </c>
      <c r="L4" s="14">
        <v>3.7500823073096691E-3</v>
      </c>
      <c r="M4" s="14">
        <v>3.7500823073096691E-3</v>
      </c>
      <c r="N4" s="14">
        <v>4.5222168399083711E-4</v>
      </c>
      <c r="O4" s="14">
        <v>3.3564386172954492E-4</v>
      </c>
      <c r="P4" s="14">
        <v>2.6188437553172051E-4</v>
      </c>
      <c r="Q4" s="14">
        <v>4.5197038223448432E-3</v>
      </c>
    </row>
    <row r="5" spans="1:17" hidden="1" x14ac:dyDescent="0.45">
      <c r="A5" s="9" t="s">
        <v>41</v>
      </c>
      <c r="B5" s="9" t="s">
        <v>42</v>
      </c>
      <c r="C5" s="9" t="s">
        <v>13</v>
      </c>
      <c r="D5" s="14">
        <v>4.8688867017884732E-2</v>
      </c>
      <c r="E5" s="14">
        <v>2.5122756666078961E-3</v>
      </c>
      <c r="F5" s="14">
        <v>4.0400736078079289E-3</v>
      </c>
      <c r="G5" s="14">
        <v>7.7738391031925676E-3</v>
      </c>
      <c r="H5" s="14">
        <v>7.0720536564343774E-3</v>
      </c>
      <c r="I5" s="14">
        <v>1.4845892759626949E-2</v>
      </c>
      <c r="J5" s="14">
        <v>1.24722317456878E-2</v>
      </c>
      <c r="K5" s="14">
        <v>4.6609671389995196E-3</v>
      </c>
      <c r="L5" s="14">
        <v>4.6609671389995196E-3</v>
      </c>
      <c r="M5" s="14">
        <v>4.6609671389995196E-3</v>
      </c>
      <c r="N5" s="14">
        <v>5.7474991849021807E-4</v>
      </c>
      <c r="O5" s="14">
        <v>6.3479600392568635E-4</v>
      </c>
      <c r="P5" s="14">
        <v>4.7367231487200798E-4</v>
      </c>
      <c r="Q5" s="14">
        <v>8.4742078618667092E-3</v>
      </c>
    </row>
    <row r="6" spans="1:17" s="6" customFormat="1" x14ac:dyDescent="0.45">
      <c r="A6" s="18" t="s">
        <v>39</v>
      </c>
      <c r="B6" s="18" t="s">
        <v>43</v>
      </c>
      <c r="C6" s="18" t="s">
        <v>13</v>
      </c>
      <c r="D6" s="19">
        <f>High_BASE!B12*0.001</f>
        <v>3.6177000000000001E-2</v>
      </c>
      <c r="E6" s="19">
        <f>High_BASE!C12*0.001</f>
        <v>1.6739999999999999E-3</v>
      </c>
      <c r="F6" s="19">
        <f>High_BASE!D12*0.001</f>
        <v>3.9119999999999997E-3</v>
      </c>
      <c r="G6" s="19">
        <f>High_BASE!E12*0.001</f>
        <v>4.156E-3</v>
      </c>
      <c r="H6" s="19">
        <f>High_BASE!F12*0.001</f>
        <v>4.5069999999999997E-3</v>
      </c>
      <c r="I6" s="19">
        <f>High_BASE!G12*0.001</f>
        <v>8.6630000000000006E-3</v>
      </c>
      <c r="J6" s="19">
        <f>High_BASE!H12*0.001</f>
        <v>1.0683999999999999E-2</v>
      </c>
      <c r="K6" s="19">
        <f>High_BASE!I12*0.001</f>
        <v>5.0999999999999995E-3</v>
      </c>
      <c r="L6" s="19">
        <f>High_BASE!J12*0.001</f>
        <v>3.2570000000000003E-3</v>
      </c>
      <c r="M6" s="19">
        <f>High_BASE!K12*0.001</f>
        <v>1.9139999999999999E-3</v>
      </c>
      <c r="N6" s="19">
        <f>High_BASE!L12*0.001</f>
        <v>6.1499999999999999E-4</v>
      </c>
      <c r="O6" s="19">
        <f>High_BASE!M12*0.001</f>
        <v>5.440000000000001E-4</v>
      </c>
      <c r="P6" s="19">
        <f>High_BASE!N12*0.001</f>
        <v>3.3300000000000002E-4</v>
      </c>
      <c r="Q6" s="19">
        <f>High_BASE!O12*0.001</f>
        <v>4.6540000000000002E-3</v>
      </c>
    </row>
    <row r="7" spans="1:17" s="6" customFormat="1" x14ac:dyDescent="0.45">
      <c r="A7" s="18" t="s">
        <v>44</v>
      </c>
      <c r="B7" s="18" t="s">
        <v>43</v>
      </c>
      <c r="C7" s="18" t="s">
        <v>13</v>
      </c>
      <c r="D7" s="19">
        <f>High_RESI!B12*0.001</f>
        <v>6.9532999999999998E-2</v>
      </c>
      <c r="E7" s="19">
        <f>High_RESI!C12*0.001</f>
        <v>2.3600000000000001E-3</v>
      </c>
      <c r="F7" s="19">
        <f>High_RESI!D12*0.001</f>
        <v>8.5079999999999999E-3</v>
      </c>
      <c r="G7" s="19">
        <f>High_RESI!E12*0.001</f>
        <v>7.8379999999999995E-3</v>
      </c>
      <c r="H7" s="19">
        <f>High_RESI!F12*0.001</f>
        <v>9.1560000000000009E-3</v>
      </c>
      <c r="I7" s="19">
        <f>High_RESI!G12*0.001</f>
        <v>1.6993999999999999E-2</v>
      </c>
      <c r="J7" s="19">
        <f>High_RESI!H12*0.001</f>
        <v>2.4804E-2</v>
      </c>
      <c r="K7" s="19">
        <f>High_RESI!I12*0.001</f>
        <v>8.3249999999999991E-3</v>
      </c>
      <c r="L7" s="19">
        <f>High_RESI!J12*0.001</f>
        <v>5.5830000000000003E-3</v>
      </c>
      <c r="M7" s="19">
        <f>High_RESI!K12*0.001</f>
        <v>2.8570000000000002E-3</v>
      </c>
      <c r="N7" s="19">
        <f>High_RESI!L12*0.001</f>
        <v>9.6299999999999999E-4</v>
      </c>
      <c r="O7" s="19">
        <f>High_RESI!M12*0.001</f>
        <v>1.1610000000000001E-3</v>
      </c>
      <c r="P7" s="19">
        <f>High_RESI!N12*0.001</f>
        <v>5.4300000000000008E-4</v>
      </c>
      <c r="Q7" s="19">
        <f>High_RESI!O12*0.001</f>
        <v>5.8739999999999999E-3</v>
      </c>
    </row>
    <row r="8" spans="1:17" s="16" customFormat="1" x14ac:dyDescent="0.45">
      <c r="A8" s="18" t="s">
        <v>41</v>
      </c>
      <c r="B8" s="18" t="s">
        <v>43</v>
      </c>
      <c r="C8" s="18" t="s">
        <v>13</v>
      </c>
      <c r="D8" s="19">
        <f>High_WOOD!B12*0.001</f>
        <v>8.0766999999999992E-2</v>
      </c>
      <c r="E8" s="19">
        <f>High_WOOD!C12*0.001</f>
        <v>4.4470000000000004E-3</v>
      </c>
      <c r="F8" s="19">
        <f>High_WOOD!D12*0.001</f>
        <v>9.4369999999999992E-3</v>
      </c>
      <c r="G8" s="19">
        <f>High_WOOD!E12*0.001</f>
        <v>9.2890000000000004E-3</v>
      </c>
      <c r="H8" s="19">
        <f>High_WOOD!F12*0.001</f>
        <v>1.1006999999999999E-2</v>
      </c>
      <c r="I8" s="19">
        <f>High_WOOD!G12*0.001</f>
        <v>2.0297000000000003E-2</v>
      </c>
      <c r="J8" s="19">
        <f>High_WOOD!H12*0.001</f>
        <v>2.6704000000000002E-2</v>
      </c>
      <c r="K8" s="19">
        <f>High_WOOD!I12*0.001</f>
        <v>8.6300000000000005E-3</v>
      </c>
      <c r="L8" s="19">
        <f>High_WOOD!J12*0.001</f>
        <v>5.7480000000000005E-3</v>
      </c>
      <c r="M8" s="19">
        <f>High_WOOD!K12*0.001</f>
        <v>3.0009999999999998E-3</v>
      </c>
      <c r="N8" s="19">
        <f>High_WOOD!L12*0.001</f>
        <v>1.07E-3</v>
      </c>
      <c r="O8" s="19">
        <f>High_WOOD!M12*0.001</f>
        <v>1.387E-3</v>
      </c>
      <c r="P8" s="19">
        <f>High_WOOD!N12*0.001</f>
        <v>7.18E-4</v>
      </c>
      <c r="Q8" s="19">
        <f>High_WOOD!O12*0.001</f>
        <v>8.0780000000000001E-3</v>
      </c>
    </row>
    <row r="9" spans="1:17" s="9" customFormat="1" hidden="1" x14ac:dyDescent="0.45">
      <c r="A9" s="9" t="s">
        <v>39</v>
      </c>
      <c r="B9" s="9" t="s">
        <v>45</v>
      </c>
      <c r="C9" s="9" t="s">
        <v>13</v>
      </c>
      <c r="D9" s="17">
        <v>4.2146528665914999E-5</v>
      </c>
      <c r="E9" s="17">
        <v>3.3101731299783001E-7</v>
      </c>
      <c r="F9" s="17">
        <v>7.9332409264822897E-6</v>
      </c>
      <c r="G9" s="17">
        <v>7.6788678311159005E-6</v>
      </c>
      <c r="H9" s="17">
        <v>8.2304285162632897E-6</v>
      </c>
      <c r="I9" s="17">
        <v>1.5909296347379199E-5</v>
      </c>
      <c r="J9" s="17">
        <v>8.6004481454779099E-6</v>
      </c>
      <c r="K9" s="17">
        <v>2.7031064594676099E-6</v>
      </c>
      <c r="L9" s="17">
        <v>2.7031064594676099E-6</v>
      </c>
      <c r="M9" s="17">
        <v>2.7031064594676099E-6</v>
      </c>
      <c r="N9" s="17">
        <v>1.01676665969188E-6</v>
      </c>
      <c r="O9" s="17">
        <v>2.7349797829254001E-7</v>
      </c>
      <c r="P9" s="17">
        <v>1.3719005224503099E-7</v>
      </c>
      <c r="Q9" s="17">
        <v>5.2419647838806998E-6</v>
      </c>
    </row>
    <row r="10" spans="1:17" hidden="1" x14ac:dyDescent="0.45">
      <c r="A10" s="9" t="s">
        <v>41</v>
      </c>
      <c r="B10" s="9" t="s">
        <v>45</v>
      </c>
      <c r="C10" s="9" t="s">
        <v>13</v>
      </c>
      <c r="D10" s="17">
        <v>4.2146528665914999E-5</v>
      </c>
      <c r="E10" s="17">
        <v>3.3101731299783001E-7</v>
      </c>
      <c r="F10" s="17">
        <v>7.9332409264822897E-6</v>
      </c>
      <c r="G10" s="17">
        <v>7.6788678311159005E-6</v>
      </c>
      <c r="H10" s="17">
        <v>8.2304285162632897E-6</v>
      </c>
      <c r="I10" s="17">
        <v>1.5909296347379199E-5</v>
      </c>
      <c r="J10" s="17">
        <v>8.6004481454779099E-6</v>
      </c>
      <c r="K10" s="17">
        <v>2.7031064594676099E-6</v>
      </c>
      <c r="L10" s="17">
        <v>2.7031064594676099E-6</v>
      </c>
      <c r="M10" s="17">
        <v>2.7031064594676099E-6</v>
      </c>
      <c r="N10" s="17">
        <v>1.01676665969188E-6</v>
      </c>
      <c r="O10" s="17">
        <v>2.7349797829254001E-7</v>
      </c>
      <c r="P10" s="17">
        <v>1.3719005224503099E-7</v>
      </c>
      <c r="Q10" s="17">
        <v>5.2419647838806998E-6</v>
      </c>
    </row>
    <row r="11" spans="1:17" hidden="1" x14ac:dyDescent="0.45">
      <c r="A11" s="9" t="s">
        <v>39</v>
      </c>
      <c r="B11" s="9" t="s">
        <v>40</v>
      </c>
      <c r="C11" s="9" t="s">
        <v>14</v>
      </c>
      <c r="D11" s="17">
        <v>2.5632377055024792E-2</v>
      </c>
      <c r="E11" s="17">
        <v>3.0808447767778722E-3</v>
      </c>
      <c r="F11" s="17">
        <v>8.7537306593222283E-4</v>
      </c>
      <c r="G11" s="17">
        <v>1.9873360585813118E-3</v>
      </c>
      <c r="H11" s="17">
        <v>3.5749644519482899E-3</v>
      </c>
      <c r="I11" s="17">
        <v>5.5623005105296022E-3</v>
      </c>
      <c r="J11" s="17">
        <v>4.2741562024311676E-3</v>
      </c>
      <c r="K11" s="17">
        <v>1.435544148313321E-3</v>
      </c>
      <c r="L11" s="17">
        <v>1.435544148313321E-3</v>
      </c>
      <c r="M11" s="17">
        <v>1.435544148313321E-3</v>
      </c>
      <c r="N11" s="17">
        <v>1.757859122971338E-4</v>
      </c>
      <c r="O11" s="17">
        <v>1.3213255719144871E-3</v>
      </c>
      <c r="P11" s="17">
        <v>5.7596815723640255E-4</v>
      </c>
      <c r="Q11" s="17">
        <v>8.3310787095925796E-3</v>
      </c>
    </row>
    <row r="12" spans="1:17" hidden="1" x14ac:dyDescent="0.45">
      <c r="A12" s="9" t="s">
        <v>41</v>
      </c>
      <c r="B12" s="9" t="s">
        <v>40</v>
      </c>
      <c r="C12" s="9" t="s">
        <v>14</v>
      </c>
      <c r="D12" s="17">
        <v>2.563427983463528E-2</v>
      </c>
      <c r="E12" s="17">
        <v>3.081898534647123E-3</v>
      </c>
      <c r="F12" s="17">
        <v>8.7537567242237143E-4</v>
      </c>
      <c r="G12" s="17">
        <v>1.9873619956197828E-3</v>
      </c>
      <c r="H12" s="17">
        <v>3.5751461099773271E-3</v>
      </c>
      <c r="I12" s="17">
        <v>5.5625081055971099E-3</v>
      </c>
      <c r="J12" s="17">
        <v>4.2742144308059726E-3</v>
      </c>
      <c r="K12" s="17">
        <v>1.4356960601058641E-3</v>
      </c>
      <c r="L12" s="17">
        <v>1.4356960601058641E-3</v>
      </c>
      <c r="M12" s="17">
        <v>1.4356960601058641E-3</v>
      </c>
      <c r="N12" s="17">
        <v>1.7580104634154741E-4</v>
      </c>
      <c r="O12" s="17">
        <v>1.3213651437848379E-3</v>
      </c>
      <c r="P12" s="17">
        <v>5.75934031647724E-4</v>
      </c>
      <c r="Q12" s="17">
        <v>8.3314868092827371E-3</v>
      </c>
    </row>
    <row r="13" spans="1:17" hidden="1" x14ac:dyDescent="0.45">
      <c r="A13" s="9" t="s">
        <v>39</v>
      </c>
      <c r="B13" s="9" t="s">
        <v>42</v>
      </c>
      <c r="C13" s="9" t="s">
        <v>14</v>
      </c>
      <c r="D13" s="17">
        <v>2.4742145297925639E-2</v>
      </c>
      <c r="E13" s="17">
        <v>2.7422827442962119E-3</v>
      </c>
      <c r="F13" s="17">
        <v>8.8559514637286238E-4</v>
      </c>
      <c r="G13" s="17">
        <v>1.92360098803897E-3</v>
      </c>
      <c r="H13" s="17">
        <v>3.4379270590663481E-3</v>
      </c>
      <c r="I13" s="17">
        <v>5.361528047105317E-3</v>
      </c>
      <c r="J13" s="17">
        <v>4.1616317679978622E-3</v>
      </c>
      <c r="K13" s="17">
        <v>1.434975974921275E-3</v>
      </c>
      <c r="L13" s="17">
        <v>1.434975974921275E-3</v>
      </c>
      <c r="M13" s="17">
        <v>1.434975974921275E-3</v>
      </c>
      <c r="N13" s="17">
        <v>1.779879680341192E-4</v>
      </c>
      <c r="O13" s="17">
        <v>1.310263840191927E-3</v>
      </c>
      <c r="P13" s="17">
        <v>5.4865606923058861E-4</v>
      </c>
      <c r="Q13" s="17">
        <v>8.1192237397754805E-3</v>
      </c>
    </row>
    <row r="14" spans="1:17" hidden="1" x14ac:dyDescent="0.45">
      <c r="A14" s="9" t="s">
        <v>41</v>
      </c>
      <c r="B14" s="9" t="s">
        <v>42</v>
      </c>
      <c r="C14" s="9" t="s">
        <v>14</v>
      </c>
      <c r="D14" s="17">
        <v>2.474058716308461E-2</v>
      </c>
      <c r="E14" s="17">
        <v>2.741096255145254E-3</v>
      </c>
      <c r="F14" s="17">
        <v>8.8555686732984934E-4</v>
      </c>
      <c r="G14" s="17">
        <v>1.9235964174240611E-3</v>
      </c>
      <c r="H14" s="17">
        <v>3.437209464296675E-3</v>
      </c>
      <c r="I14" s="17">
        <v>5.3608058817207352E-3</v>
      </c>
      <c r="J14" s="17">
        <v>4.1617881110990089E-3</v>
      </c>
      <c r="K14" s="17">
        <v>1.434976867025313E-3</v>
      </c>
      <c r="L14" s="17">
        <v>1.434976867025313E-3</v>
      </c>
      <c r="M14" s="17">
        <v>1.434976867025313E-3</v>
      </c>
      <c r="N14" s="17">
        <v>1.7801223763339339E-4</v>
      </c>
      <c r="O14" s="17">
        <v>1.310360605556859E-3</v>
      </c>
      <c r="P14" s="17">
        <v>5.4870410951054268E-4</v>
      </c>
      <c r="Q14" s="17">
        <v>8.1192862280636581E-3</v>
      </c>
    </row>
    <row r="15" spans="1:17" s="6" customFormat="1" x14ac:dyDescent="0.45">
      <c r="A15" s="18" t="s">
        <v>39</v>
      </c>
      <c r="B15" s="18" t="s">
        <v>43</v>
      </c>
      <c r="C15" s="18" t="s">
        <v>14</v>
      </c>
      <c r="D15" s="20">
        <v>2.5907407914867561E-2</v>
      </c>
      <c r="E15" s="20">
        <v>3.0390311866488749E-3</v>
      </c>
      <c r="F15" s="20">
        <v>8.2449960585307574E-4</v>
      </c>
      <c r="G15" s="20">
        <v>2.2428415872071858E-3</v>
      </c>
      <c r="H15" s="20">
        <v>2.3061849488029678E-3</v>
      </c>
      <c r="I15" s="20">
        <v>4.5490265360101549E-3</v>
      </c>
      <c r="J15" s="20">
        <v>3.0395564340696341E-3</v>
      </c>
      <c r="K15" s="20">
        <v>1.141418971871522E-3</v>
      </c>
      <c r="L15" s="20">
        <v>1.141418971871522E-3</v>
      </c>
      <c r="M15" s="20">
        <v>1.141418971871522E-3</v>
      </c>
      <c r="N15" s="20">
        <v>1.669147222020834E-4</v>
      </c>
      <c r="O15" s="20">
        <v>1.0890767533575411E-3</v>
      </c>
      <c r="P15" s="20">
        <v>5.9995294237481691E-4</v>
      </c>
      <c r="Q15" s="20">
        <v>1.145793076247986E-2</v>
      </c>
    </row>
    <row r="16" spans="1:17" s="18" customFormat="1" x14ac:dyDescent="0.45">
      <c r="A16" s="18" t="s">
        <v>44</v>
      </c>
      <c r="B16" s="18" t="s">
        <v>43</v>
      </c>
      <c r="C16" s="18" t="s">
        <v>14</v>
      </c>
      <c r="D16" s="20">
        <v>2.591386068467183E-2</v>
      </c>
      <c r="E16" s="20">
        <v>3.0418274367492509E-3</v>
      </c>
      <c r="F16" s="20">
        <v>8.2446671713391393E-4</v>
      </c>
      <c r="G16" s="20">
        <v>2.2428263195309831E-3</v>
      </c>
      <c r="H16" s="20">
        <v>2.3061785304245028E-3</v>
      </c>
      <c r="I16" s="20">
        <v>4.5490048499554868E-3</v>
      </c>
      <c r="J16" s="20">
        <v>3.0399013431461059E-3</v>
      </c>
      <c r="K16" s="20">
        <v>1.1413862371098349E-3</v>
      </c>
      <c r="L16" s="20">
        <v>1.1413862371098349E-3</v>
      </c>
      <c r="M16" s="20">
        <v>1.1413862371098349E-3</v>
      </c>
      <c r="N16" s="20">
        <v>1.6688467825485491E-4</v>
      </c>
      <c r="O16" s="20">
        <v>1.089200887661962E-3</v>
      </c>
      <c r="P16" s="20">
        <v>6.0019806586062406E-4</v>
      </c>
      <c r="Q16" s="20">
        <v>1.14609904687998E-2</v>
      </c>
    </row>
    <row r="17" spans="1:17" s="6" customFormat="1" x14ac:dyDescent="0.45">
      <c r="A17" s="18" t="s">
        <v>41</v>
      </c>
      <c r="B17" s="18" t="s">
        <v>43</v>
      </c>
      <c r="C17" s="18" t="s">
        <v>14</v>
      </c>
      <c r="D17" s="20">
        <v>2.5910233469082319E-2</v>
      </c>
      <c r="E17" s="20">
        <v>3.0392764169967388E-3</v>
      </c>
      <c r="F17" s="20">
        <v>8.2448366363711844E-4</v>
      </c>
      <c r="G17" s="20">
        <v>2.2426126729465901E-3</v>
      </c>
      <c r="H17" s="20">
        <v>2.306217980317481E-3</v>
      </c>
      <c r="I17" s="20">
        <v>4.5488306532640698E-3</v>
      </c>
      <c r="J17" s="20">
        <v>3.039740625716803E-3</v>
      </c>
      <c r="K17" s="20">
        <v>1.141339619764075E-3</v>
      </c>
      <c r="L17" s="20">
        <v>1.141339619764075E-3</v>
      </c>
      <c r="M17" s="20">
        <v>1.141339619764075E-3</v>
      </c>
      <c r="N17" s="20">
        <v>1.6693016008500751E-4</v>
      </c>
      <c r="O17" s="20">
        <v>1.089157139229047E-3</v>
      </c>
      <c r="P17" s="20">
        <v>6.0006878598844072E-4</v>
      </c>
      <c r="Q17" s="20">
        <v>1.1460406404401021E-2</v>
      </c>
    </row>
    <row r="18" spans="1:17" s="6" customFormat="1" hidden="1" x14ac:dyDescent="0.45">
      <c r="A18" s="18" t="s">
        <v>39</v>
      </c>
      <c r="B18" s="18" t="s">
        <v>45</v>
      </c>
      <c r="C18" s="18" t="s">
        <v>14</v>
      </c>
      <c r="D18" s="20">
        <v>4.86146405840093E-2</v>
      </c>
      <c r="E18" s="20">
        <v>1.25030538276796E-2</v>
      </c>
      <c r="F18" s="20">
        <v>3.0122422380339901E-3</v>
      </c>
      <c r="G18" s="20">
        <v>3.7890532453898401E-3</v>
      </c>
      <c r="H18" s="20">
        <v>2.8939269004128799E-3</v>
      </c>
      <c r="I18" s="20">
        <v>6.68298014580273E-3</v>
      </c>
      <c r="J18" s="20">
        <v>4.5278814082541597E-3</v>
      </c>
      <c r="K18" s="20">
        <v>2.5121785262138502E-3</v>
      </c>
      <c r="L18" s="20">
        <v>2.5121785262138502E-3</v>
      </c>
      <c r="M18" s="20">
        <v>2.5121785262138502E-3</v>
      </c>
      <c r="N18" s="20">
        <v>5.7371700479434099E-4</v>
      </c>
      <c r="O18" s="20">
        <v>1.34070736236652E-3</v>
      </c>
      <c r="P18" s="20">
        <v>1.6286736453659701E-3</v>
      </c>
      <c r="Q18" s="20">
        <v>1.5833206425498101E-2</v>
      </c>
    </row>
    <row r="19" spans="1:17" s="6" customFormat="1" hidden="1" x14ac:dyDescent="0.45">
      <c r="A19" s="18" t="s">
        <v>41</v>
      </c>
      <c r="B19" s="18" t="s">
        <v>45</v>
      </c>
      <c r="C19" s="18" t="s">
        <v>14</v>
      </c>
      <c r="D19" s="20">
        <v>4.8599999999999997E-2</v>
      </c>
      <c r="E19" s="20">
        <v>1.2500000000000001E-2</v>
      </c>
      <c r="F19" s="20">
        <v>3.0000000000000001E-3</v>
      </c>
      <c r="G19" s="20">
        <v>3.8E-3</v>
      </c>
      <c r="H19" s="20">
        <v>2.8999999999999998E-3</v>
      </c>
      <c r="I19" s="20">
        <v>6.7000000000000002E-3</v>
      </c>
      <c r="J19" s="20">
        <v>4.4999999999999997E-3</v>
      </c>
      <c r="K19" s="20">
        <v>2.5000000000000001E-3</v>
      </c>
      <c r="L19" s="20">
        <v>2.5000000000000001E-3</v>
      </c>
      <c r="M19" s="20">
        <v>2.5000000000000001E-3</v>
      </c>
      <c r="N19" s="20">
        <v>5.9999999999999995E-4</v>
      </c>
      <c r="O19" s="20">
        <v>1.2999999999999999E-3</v>
      </c>
      <c r="P19" s="20">
        <v>1.6000000000000001E-3</v>
      </c>
      <c r="Q19" s="20">
        <v>1.5800000000000002E-2</v>
      </c>
    </row>
    <row r="20" spans="1:17" s="6" customFormat="1" hidden="1" x14ac:dyDescent="0.45">
      <c r="A20" s="18" t="s">
        <v>39</v>
      </c>
      <c r="B20" s="18" t="s">
        <v>40</v>
      </c>
      <c r="C20" s="18" t="s">
        <v>15</v>
      </c>
      <c r="D20" s="20">
        <v>0.31511085860046312</v>
      </c>
      <c r="E20" s="20">
        <v>1.3792339011615555E-2</v>
      </c>
      <c r="F20" s="20">
        <v>2.9617929835263807E-2</v>
      </c>
      <c r="G20" s="20">
        <v>7.1313733128033657E-2</v>
      </c>
      <c r="H20" s="20">
        <v>2.4030681856646148E-2</v>
      </c>
      <c r="I20" s="20">
        <v>9.5344414984679798E-2</v>
      </c>
      <c r="J20" s="20">
        <v>7.6958800712806832E-3</v>
      </c>
      <c r="K20" s="20">
        <v>4.5100480530223296E-3</v>
      </c>
      <c r="L20" s="20">
        <v>4.5100480530223296E-3</v>
      </c>
      <c r="M20" s="20">
        <v>4.5100480530223296E-3</v>
      </c>
      <c r="N20" s="20">
        <v>1.2834712919964392E-3</v>
      </c>
      <c r="O20" s="20">
        <v>1.6867352513916727E-2</v>
      </c>
      <c r="P20" s="20">
        <v>9.7059349982527229E-3</v>
      </c>
      <c r="Q20" s="20">
        <v>0.13629348784043507</v>
      </c>
    </row>
    <row r="21" spans="1:17" s="6" customFormat="1" hidden="1" x14ac:dyDescent="0.45">
      <c r="A21" s="18" t="s">
        <v>41</v>
      </c>
      <c r="B21" s="18" t="s">
        <v>40</v>
      </c>
      <c r="C21" s="18" t="s">
        <v>15</v>
      </c>
      <c r="D21" s="20">
        <v>0.3151067109876719</v>
      </c>
      <c r="E21" s="20">
        <v>1.3774976533651973E-2</v>
      </c>
      <c r="F21" s="20">
        <v>2.9614084414400187E-2</v>
      </c>
      <c r="G21" s="20">
        <v>7.1310099400394483E-2</v>
      </c>
      <c r="H21" s="20">
        <v>2.4026342753466188E-2</v>
      </c>
      <c r="I21" s="20">
        <v>9.5336442153860668E-2</v>
      </c>
      <c r="J21" s="20">
        <v>7.68908341567014E-3</v>
      </c>
      <c r="K21" s="20">
        <v>4.5067220680940065E-3</v>
      </c>
      <c r="L21" s="20">
        <v>4.5067220680940065E-3</v>
      </c>
      <c r="M21" s="20">
        <v>4.5067220680940065E-3</v>
      </c>
      <c r="N21" s="20">
        <v>1.2826235934459602E-3</v>
      </c>
      <c r="O21" s="20">
        <v>1.6870466987212476E-2</v>
      </c>
      <c r="P21" s="20">
        <v>9.6976299565502549E-3</v>
      </c>
      <c r="Q21" s="20">
        <v>0.13633468186478623</v>
      </c>
    </row>
    <row r="22" spans="1:17" s="18" customFormat="1" hidden="1" x14ac:dyDescent="0.45">
      <c r="A22" s="18" t="s">
        <v>39</v>
      </c>
      <c r="B22" s="18" t="s">
        <v>42</v>
      </c>
      <c r="C22" s="18" t="s">
        <v>15</v>
      </c>
      <c r="D22" s="20">
        <v>0.33179869094894293</v>
      </c>
      <c r="E22" s="20">
        <v>1.512759308999613E-2</v>
      </c>
      <c r="F22" s="20">
        <v>3.1219288016463564E-2</v>
      </c>
      <c r="G22" s="20">
        <v>7.3627400032271195E-2</v>
      </c>
      <c r="H22" s="20">
        <v>2.606632088620708E-2</v>
      </c>
      <c r="I22" s="20">
        <v>9.9693720918478279E-2</v>
      </c>
      <c r="J22" s="20">
        <v>8.5015320966795923E-3</v>
      </c>
      <c r="K22" s="20">
        <v>4.6852937651083804E-3</v>
      </c>
      <c r="L22" s="20">
        <v>4.6852937651083804E-3</v>
      </c>
      <c r="M22" s="20">
        <v>4.6852937651083804E-3</v>
      </c>
      <c r="N22" s="20">
        <v>1.3590797451199651E-3</v>
      </c>
      <c r="O22" s="20">
        <v>2.0610753141317797E-2</v>
      </c>
      <c r="P22" s="20">
        <v>1.1100859907118038E-2</v>
      </c>
      <c r="Q22" s="20">
        <v>0.13950057026866111</v>
      </c>
    </row>
    <row r="23" spans="1:17" s="6" customFormat="1" hidden="1" x14ac:dyDescent="0.45">
      <c r="A23" s="18" t="s">
        <v>41</v>
      </c>
      <c r="B23" s="18" t="s">
        <v>42</v>
      </c>
      <c r="C23" s="18" t="s">
        <v>15</v>
      </c>
      <c r="D23" s="20">
        <v>0.33179464355098831</v>
      </c>
      <c r="E23" s="20">
        <v>1.5108691055157138E-2</v>
      </c>
      <c r="F23" s="20">
        <v>3.1215806615670531E-2</v>
      </c>
      <c r="G23" s="20">
        <v>7.3624507317831184E-2</v>
      </c>
      <c r="H23" s="20">
        <v>2.6062570412250189E-2</v>
      </c>
      <c r="I23" s="20">
        <v>9.9687077730081369E-2</v>
      </c>
      <c r="J23" s="20">
        <v>8.4940376199547796E-3</v>
      </c>
      <c r="K23" s="20">
        <v>4.681894273542435E-3</v>
      </c>
      <c r="L23" s="20">
        <v>4.681894273542435E-3</v>
      </c>
      <c r="M23" s="20">
        <v>4.681894273542435E-3</v>
      </c>
      <c r="N23" s="20">
        <v>1.3581689458063749E-3</v>
      </c>
      <c r="O23" s="20">
        <v>2.061447243021167E-2</v>
      </c>
      <c r="P23" s="20">
        <v>1.1091752312349082E-2</v>
      </c>
      <c r="Q23" s="20">
        <v>0.13954274256821492</v>
      </c>
    </row>
    <row r="24" spans="1:17" s="6" customFormat="1" x14ac:dyDescent="0.45">
      <c r="A24" s="18" t="s">
        <v>39</v>
      </c>
      <c r="B24" s="18" t="s">
        <v>43</v>
      </c>
      <c r="C24" s="18" t="s">
        <v>15</v>
      </c>
      <c r="D24" s="20">
        <v>0.30493874856531578</v>
      </c>
      <c r="E24" s="20">
        <v>1.2677537483644443E-2</v>
      </c>
      <c r="F24" s="20">
        <v>2.8371217695158709E-2</v>
      </c>
      <c r="G24" s="20">
        <v>6.9940304450100244E-2</v>
      </c>
      <c r="H24" s="20">
        <v>2.3678804787659085E-2</v>
      </c>
      <c r="I24" s="20">
        <v>9.3619109237759318E-2</v>
      </c>
      <c r="J24" s="20">
        <v>7.5710426370629788E-3</v>
      </c>
      <c r="K24" s="20">
        <v>4.4055342722126691E-3</v>
      </c>
      <c r="L24" s="20">
        <v>4.4055342722126691E-3</v>
      </c>
      <c r="M24" s="20">
        <v>4.4055342722126691E-3</v>
      </c>
      <c r="N24" s="20">
        <v>1.2330765995212897E-3</v>
      </c>
      <c r="O24" s="20">
        <v>1.6534838913109254E-2</v>
      </c>
      <c r="P24" s="20">
        <v>9.1776340228902787E-3</v>
      </c>
      <c r="Q24" s="20">
        <v>0.13134875770395679</v>
      </c>
    </row>
    <row r="25" spans="1:17" s="6" customFormat="1" x14ac:dyDescent="0.45">
      <c r="A25" s="18" t="s">
        <v>44</v>
      </c>
      <c r="B25" s="18" t="s">
        <v>43</v>
      </c>
      <c r="C25" s="18" t="s">
        <v>15</v>
      </c>
      <c r="D25" s="20">
        <v>0.30494547975576652</v>
      </c>
      <c r="E25" s="20">
        <v>1.2678000381248659E-2</v>
      </c>
      <c r="F25" s="20">
        <v>2.8359201166284955E-2</v>
      </c>
      <c r="G25" s="20">
        <v>6.9953351365080602E-2</v>
      </c>
      <c r="H25" s="20">
        <v>2.3677776547361636E-2</v>
      </c>
      <c r="I25" s="20">
        <v>9.3631127912442227E-2</v>
      </c>
      <c r="J25" s="20">
        <v>7.5688912468152682E-3</v>
      </c>
      <c r="K25" s="20">
        <v>4.4056058104112129E-3</v>
      </c>
      <c r="L25" s="20">
        <v>4.4056058104112129E-3</v>
      </c>
      <c r="M25" s="20">
        <v>4.4056058104112129E-3</v>
      </c>
      <c r="N25" s="20">
        <v>1.2333984396681794E-3</v>
      </c>
      <c r="O25" s="20">
        <v>1.6533098453651179E-2</v>
      </c>
      <c r="P25" s="20">
        <v>9.1679844810689977E-3</v>
      </c>
      <c r="Q25" s="20">
        <v>0.13136817186417588</v>
      </c>
    </row>
    <row r="26" spans="1:17" s="6" customFormat="1" x14ac:dyDescent="0.45">
      <c r="A26" s="18" t="s">
        <v>41</v>
      </c>
      <c r="B26" s="18" t="s">
        <v>43</v>
      </c>
      <c r="C26" s="18" t="s">
        <v>15</v>
      </c>
      <c r="D26" s="20">
        <v>0.30493430372499936</v>
      </c>
      <c r="E26" s="20">
        <v>1.2661416142088693E-2</v>
      </c>
      <c r="F26" s="20">
        <v>2.8367259125319528E-2</v>
      </c>
      <c r="G26" s="20">
        <v>6.99360519523302E-2</v>
      </c>
      <c r="H26" s="20">
        <v>2.3674529244653669E-2</v>
      </c>
      <c r="I26" s="20">
        <v>9.36105811969839E-2</v>
      </c>
      <c r="J26" s="20">
        <v>7.5643690356497467E-3</v>
      </c>
      <c r="K26" s="20">
        <v>4.4022558630326036E-3</v>
      </c>
      <c r="L26" s="20">
        <v>4.4022558630326036E-3</v>
      </c>
      <c r="M26" s="20">
        <v>4.4022558630326036E-3</v>
      </c>
      <c r="N26" s="20">
        <v>1.2322712686326173E-3</v>
      </c>
      <c r="O26" s="20">
        <v>1.6537816957019818E-2</v>
      </c>
      <c r="P26" s="20">
        <v>9.1699105174820709E-3</v>
      </c>
      <c r="Q26" s="20">
        <v>0.13138842361879038</v>
      </c>
    </row>
    <row r="27" spans="1:17" hidden="1" x14ac:dyDescent="0.45">
      <c r="A27" s="9" t="s">
        <v>39</v>
      </c>
      <c r="B27" s="9" t="s">
        <v>45</v>
      </c>
      <c r="C27" s="9" t="s">
        <v>15</v>
      </c>
      <c r="D27" s="17">
        <v>0.23390925050589201</v>
      </c>
      <c r="E27" s="17">
        <v>1.0466449651401401E-2</v>
      </c>
      <c r="F27" s="17">
        <v>2.1392114904115699E-2</v>
      </c>
      <c r="G27" s="17">
        <v>5.1225156181619803E-2</v>
      </c>
      <c r="H27" s="17">
        <v>1.68200111306946E-2</v>
      </c>
      <c r="I27" s="17">
        <v>6.8045167312314497E-2</v>
      </c>
      <c r="J27" s="17">
        <v>6.0056526022124E-3</v>
      </c>
      <c r="K27" s="17">
        <v>3.7755138376163499E-3</v>
      </c>
      <c r="L27" s="17">
        <v>3.7755138376163499E-3</v>
      </c>
      <c r="M27" s="17">
        <v>3.7755138376163499E-3</v>
      </c>
      <c r="N27" s="17">
        <v>9.1072110297843803E-4</v>
      </c>
      <c r="O27" s="17">
        <v>1.3373042568041499E-2</v>
      </c>
      <c r="P27" s="17">
        <v>7.3574000944673801E-3</v>
      </c>
      <c r="Q27" s="17">
        <v>0.102583188432744</v>
      </c>
    </row>
    <row r="28" spans="1:17" s="9" customFormat="1" hidden="1" x14ac:dyDescent="0.45">
      <c r="A28" s="9" t="s">
        <v>41</v>
      </c>
      <c r="B28" s="9" t="s">
        <v>45</v>
      </c>
      <c r="C28" s="9" t="s">
        <v>15</v>
      </c>
      <c r="D28" s="17">
        <v>0.2339</v>
      </c>
      <c r="E28" s="17">
        <v>1.04E-2</v>
      </c>
      <c r="F28" s="17">
        <v>2.1399999999999999E-2</v>
      </c>
      <c r="G28" s="17">
        <v>5.1200000000000002E-2</v>
      </c>
      <c r="H28" s="17">
        <v>1.6799999999999999E-2</v>
      </c>
      <c r="I28" s="17">
        <v>6.8000000000000005E-2</v>
      </c>
      <c r="J28" s="17">
        <v>6.0000000000000001E-3</v>
      </c>
      <c r="K28" s="17">
        <v>3.8E-3</v>
      </c>
      <c r="L28" s="17">
        <v>3.8E-3</v>
      </c>
      <c r="M28" s="17">
        <v>3.8E-3</v>
      </c>
      <c r="N28" s="17">
        <v>8.9999999999999998E-4</v>
      </c>
      <c r="O28" s="17">
        <v>1.34E-2</v>
      </c>
      <c r="P28" s="17">
        <v>7.4000000000000003E-3</v>
      </c>
      <c r="Q28" s="17">
        <v>0.1026</v>
      </c>
    </row>
    <row r="29" spans="1:17" hidden="1" x14ac:dyDescent="0.45">
      <c r="D29" s="10"/>
    </row>
    <row r="30" spans="1:17" hidden="1" x14ac:dyDescent="0.45">
      <c r="D30"/>
    </row>
    <row r="31" spans="1:17" hidden="1" x14ac:dyDescent="0.45"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f>SUM(Q5+Q14+Q23)</f>
        <v>0.1561362366581453</v>
      </c>
    </row>
    <row r="32" spans="1:17" hidden="1" x14ac:dyDescent="0.45"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>
        <f>SUM(Q3+Q12+Q21)</f>
        <v>0.15350796460166646</v>
      </c>
    </row>
    <row r="33" spans="4:17" hidden="1" x14ac:dyDescent="0.45"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4:17" hidden="1" x14ac:dyDescent="0.45"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>
        <f t="shared" ref="Q34" si="0">P32/P31</f>
        <v>0.98316680283364744</v>
      </c>
    </row>
    <row r="35" spans="4:17" s="9" customFormat="1" hidden="1" x14ac:dyDescent="0.45"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4:17" hidden="1" x14ac:dyDescent="0.45">
      <c r="D36" s="10"/>
    </row>
    <row r="37" spans="4:17" hidden="1" x14ac:dyDescent="0.45">
      <c r="D37" s="10"/>
    </row>
    <row r="38" spans="4:17" hidden="1" x14ac:dyDescent="0.45">
      <c r="D38" s="10"/>
    </row>
    <row r="39" spans="4:17" hidden="1" x14ac:dyDescent="0.45">
      <c r="D39" s="10"/>
    </row>
    <row r="40" spans="4:17" hidden="1" x14ac:dyDescent="0.45">
      <c r="D40" s="10"/>
    </row>
    <row r="41" spans="4:17" hidden="1" x14ac:dyDescent="0.45">
      <c r="D41" s="10"/>
    </row>
    <row r="42" spans="4:17" s="9" customFormat="1" hidden="1" x14ac:dyDescent="0.45"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4:17" hidden="1" x14ac:dyDescent="0.45">
      <c r="D43" s="10"/>
    </row>
    <row r="44" spans="4:17" hidden="1" x14ac:dyDescent="0.45">
      <c r="D44" s="10"/>
    </row>
    <row r="45" spans="4:17" hidden="1" x14ac:dyDescent="0.45">
      <c r="D45" s="10"/>
    </row>
    <row r="46" spans="4:17" hidden="1" x14ac:dyDescent="0.45">
      <c r="D46" s="10"/>
    </row>
    <row r="47" spans="4:17" hidden="1" x14ac:dyDescent="0.45">
      <c r="D47" s="10"/>
    </row>
    <row r="48" spans="4:17" hidden="1" x14ac:dyDescent="0.45">
      <c r="D48" s="10"/>
    </row>
    <row r="49" spans="4:17" s="9" customFormat="1" hidden="1" x14ac:dyDescent="0.45"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4:17" hidden="1" x14ac:dyDescent="0.45">
      <c r="D50" s="10"/>
    </row>
    <row r="51" spans="4:17" hidden="1" x14ac:dyDescent="0.45">
      <c r="D51" s="10"/>
    </row>
    <row r="52" spans="4:17" hidden="1" x14ac:dyDescent="0.45">
      <c r="D52" s="10"/>
    </row>
    <row r="53" spans="4:17" hidden="1" x14ac:dyDescent="0.45">
      <c r="D53" s="10"/>
    </row>
    <row r="54" spans="4:17" hidden="1" x14ac:dyDescent="0.45">
      <c r="D54" s="10"/>
    </row>
    <row r="55" spans="4:17" hidden="1" x14ac:dyDescent="0.45">
      <c r="D55" s="10"/>
    </row>
    <row r="56" spans="4:17" s="9" customFormat="1" hidden="1" x14ac:dyDescent="0.45"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4:17" hidden="1" x14ac:dyDescent="0.45">
      <c r="D57" s="10"/>
    </row>
    <row r="58" spans="4:17" hidden="1" x14ac:dyDescent="0.45">
      <c r="D58" s="10"/>
    </row>
    <row r="59" spans="4:17" hidden="1" x14ac:dyDescent="0.45">
      <c r="D59" s="10"/>
    </row>
    <row r="60" spans="4:17" hidden="1" x14ac:dyDescent="0.45">
      <c r="D60" s="10"/>
    </row>
    <row r="61" spans="4:17" hidden="1" x14ac:dyDescent="0.45">
      <c r="D61" s="10"/>
    </row>
    <row r="62" spans="4:17" hidden="1" x14ac:dyDescent="0.45">
      <c r="D62" s="10"/>
    </row>
    <row r="63" spans="4:17" s="9" customFormat="1" hidden="1" x14ac:dyDescent="0.45"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4:17" hidden="1" x14ac:dyDescent="0.45">
      <c r="D64" s="10"/>
    </row>
    <row r="65" spans="1:17" hidden="1" x14ac:dyDescent="0.45">
      <c r="D65" s="10"/>
    </row>
    <row r="66" spans="1:17" hidden="1" x14ac:dyDescent="0.45">
      <c r="D66" s="10"/>
    </row>
    <row r="67" spans="1:17" hidden="1" x14ac:dyDescent="0.45">
      <c r="D67" s="10"/>
    </row>
    <row r="68" spans="1:17" hidden="1" x14ac:dyDescent="0.45">
      <c r="D68" s="10"/>
    </row>
    <row r="69" spans="1:17" hidden="1" x14ac:dyDescent="0.45">
      <c r="A69" s="9"/>
      <c r="B69" s="9"/>
      <c r="C69" s="9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1:17" hidden="1" x14ac:dyDescent="0.45">
      <c r="A70" s="9"/>
      <c r="B70" s="9"/>
      <c r="C70" s="9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1:17" hidden="1" x14ac:dyDescent="0.45">
      <c r="A71" s="9"/>
      <c r="B71" s="9"/>
      <c r="C71" s="9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17" hidden="1" x14ac:dyDescent="0.45">
      <c r="A72" s="9"/>
      <c r="B72" s="9"/>
      <c r="C72" s="9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1:17" hidden="1" x14ac:dyDescent="0.45">
      <c r="A73" s="9"/>
      <c r="B73" s="9"/>
      <c r="C73" s="9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1:17" hidden="1" x14ac:dyDescent="0.45">
      <c r="A74" s="9"/>
      <c r="B74" s="9"/>
      <c r="C74" s="9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1:17" hidden="1" x14ac:dyDescent="0.45">
      <c r="A75" s="9"/>
      <c r="B75" s="9"/>
      <c r="C75" s="9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1:17" hidden="1" x14ac:dyDescent="0.45">
      <c r="A76" s="9"/>
      <c r="B76" s="9"/>
      <c r="C76" s="9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spans="1:17" hidden="1" x14ac:dyDescent="0.45">
      <c r="A77" s="9"/>
      <c r="B77" s="9"/>
      <c r="C77" s="9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spans="1:17" hidden="1" x14ac:dyDescent="0.45">
      <c r="A78" s="9"/>
      <c r="B78" s="9"/>
      <c r="C78" s="9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spans="1:17" hidden="1" x14ac:dyDescent="0.45">
      <c r="A79" s="9"/>
      <c r="B79" s="9"/>
      <c r="C79" s="9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spans="1:17" hidden="1" x14ac:dyDescent="0.45">
      <c r="A80" s="9"/>
      <c r="B80" s="9"/>
      <c r="C80" s="9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spans="1:17" hidden="1" x14ac:dyDescent="0.45">
      <c r="A81" s="9"/>
      <c r="B81" s="9"/>
      <c r="C81" s="9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spans="1:17" hidden="1" x14ac:dyDescent="0.45">
      <c r="A82" s="9"/>
      <c r="B82" s="9"/>
      <c r="C82" s="9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spans="1:17" hidden="1" x14ac:dyDescent="0.45">
      <c r="A83" s="9"/>
      <c r="B83" s="9"/>
      <c r="C83" s="9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spans="1:17" hidden="1" x14ac:dyDescent="0.45">
      <c r="A84" s="9"/>
      <c r="B84" s="9"/>
      <c r="C84" s="9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spans="1:17" hidden="1" x14ac:dyDescent="0.45">
      <c r="A85" s="9"/>
      <c r="B85" s="9"/>
      <c r="C85" s="9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spans="1:17" hidden="1" x14ac:dyDescent="0.45">
      <c r="A86" s="9"/>
      <c r="B86" s="9"/>
      <c r="C86" s="9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spans="1:17" hidden="1" x14ac:dyDescent="0.45">
      <c r="A87" s="9"/>
      <c r="B87" s="9"/>
      <c r="C87" s="9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spans="1:17" hidden="1" x14ac:dyDescent="0.45">
      <c r="A88" s="9"/>
      <c r="B88" s="9"/>
      <c r="C88" s="9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90" spans="1:17" x14ac:dyDescent="0.45">
      <c r="C90" s="28"/>
      <c r="D90" s="29" t="s">
        <v>55</v>
      </c>
      <c r="E90" s="30" t="s">
        <v>54</v>
      </c>
    </row>
    <row r="91" spans="1:17" x14ac:dyDescent="0.45">
      <c r="C91" s="31" t="s">
        <v>51</v>
      </c>
      <c r="D91" s="32">
        <f>(D6+D15+D24)*1000</f>
        <v>367.02315648018333</v>
      </c>
      <c r="E91" s="33"/>
    </row>
    <row r="92" spans="1:17" x14ac:dyDescent="0.45">
      <c r="C92" s="34" t="s">
        <v>13</v>
      </c>
      <c r="D92" s="35">
        <f>D6*1000</f>
        <v>36.177</v>
      </c>
      <c r="E92" s="36">
        <f>D92/D$91</f>
        <v>9.8568712521966723E-2</v>
      </c>
    </row>
    <row r="93" spans="1:17" x14ac:dyDescent="0.45">
      <c r="C93" s="34" t="s">
        <v>14</v>
      </c>
      <c r="D93" s="35">
        <f>D15*1000</f>
        <v>25.907407914867562</v>
      </c>
      <c r="E93" s="36">
        <f t="shared" ref="E93:E94" si="1">D93/D$91</f>
        <v>7.0587938274315337E-2</v>
      </c>
    </row>
    <row r="94" spans="1:17" x14ac:dyDescent="0.45">
      <c r="C94" s="34" t="s">
        <v>15</v>
      </c>
      <c r="D94" s="32">
        <f>D24*1000</f>
        <v>304.93874856531579</v>
      </c>
      <c r="E94" s="36">
        <f t="shared" si="1"/>
        <v>0.83084334920371794</v>
      </c>
    </row>
    <row r="95" spans="1:17" x14ac:dyDescent="0.45">
      <c r="C95" s="31" t="s">
        <v>52</v>
      </c>
      <c r="D95" s="32">
        <f>SUM(D7+D16+D25)*1000</f>
        <v>400.39234044043837</v>
      </c>
      <c r="E95" s="36"/>
    </row>
    <row r="96" spans="1:17" x14ac:dyDescent="0.45">
      <c r="C96" s="34" t="s">
        <v>13</v>
      </c>
      <c r="D96" s="35">
        <f>D7*1000</f>
        <v>69.533000000000001</v>
      </c>
      <c r="E96" s="36">
        <f>D96/D$95</f>
        <v>0.17366216327593209</v>
      </c>
    </row>
    <row r="97" spans="3:5" x14ac:dyDescent="0.45">
      <c r="C97" s="34" t="s">
        <v>14</v>
      </c>
      <c r="D97" s="35">
        <v>25.907407914867562</v>
      </c>
      <c r="E97" s="36">
        <f>D97/D$95</f>
        <v>6.4705053763938078E-2</v>
      </c>
    </row>
    <row r="98" spans="3:5" x14ac:dyDescent="0.45">
      <c r="C98" s="34" t="s">
        <v>15</v>
      </c>
      <c r="D98" s="32">
        <v>304.93874856531602</v>
      </c>
      <c r="E98" s="36">
        <f>D98/D$95</f>
        <v>0.76159985535656904</v>
      </c>
    </row>
    <row r="99" spans="3:5" x14ac:dyDescent="0.45">
      <c r="C99" s="31" t="s">
        <v>53</v>
      </c>
      <c r="D99" s="32">
        <f>SUM(D8+D17+D26)*1000</f>
        <v>411.61153719408168</v>
      </c>
      <c r="E99" s="36"/>
    </row>
    <row r="100" spans="3:5" x14ac:dyDescent="0.45">
      <c r="C100" s="34" t="s">
        <v>13</v>
      </c>
      <c r="D100" s="35">
        <f>D8*1000</f>
        <v>80.766999999999996</v>
      </c>
      <c r="E100" s="36">
        <f>D100/D$99</f>
        <v>0.19622141923081474</v>
      </c>
    </row>
    <row r="101" spans="3:5" x14ac:dyDescent="0.45">
      <c r="C101" s="34" t="s">
        <v>14</v>
      </c>
      <c r="D101" s="35">
        <v>25.907407914867562</v>
      </c>
      <c r="E101" s="36">
        <f t="shared" ref="E101:E102" si="2">D101/D$99</f>
        <v>6.2941403662968243E-2</v>
      </c>
    </row>
    <row r="102" spans="3:5" x14ac:dyDescent="0.45">
      <c r="C102" s="37" t="s">
        <v>15</v>
      </c>
      <c r="D102" s="38">
        <v>304.93874856531579</v>
      </c>
      <c r="E102" s="39">
        <f t="shared" si="2"/>
        <v>0.74084111112155759</v>
      </c>
    </row>
  </sheetData>
  <autoFilter ref="B1:B88" xr:uid="{CD09F8FA-682E-45B4-86EF-CD8348451BD0}">
    <filterColumn colId="0">
      <filters>
        <filter val="PD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75C8-8E38-49FD-AB59-5DB01121040A}">
  <dimension ref="A1:O22"/>
  <sheetViews>
    <sheetView workbookViewId="0">
      <selection activeCell="C24" sqref="C24"/>
    </sheetView>
  </sheetViews>
  <sheetFormatPr defaultRowHeight="14.25" x14ac:dyDescent="0.45"/>
  <cols>
    <col min="1" max="1" width="20.53125" customWidth="1"/>
    <col min="2" max="2" width="9.19921875" bestFit="1" customWidth="1"/>
    <col min="3" max="15" width="9.1328125" bestFit="1" customWidth="1"/>
  </cols>
  <sheetData>
    <row r="1" spans="1:15" x14ac:dyDescent="0.4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45">
      <c r="A2" s="3" t="s">
        <v>13</v>
      </c>
      <c r="B2" s="2">
        <v>90.533000000000001</v>
      </c>
      <c r="C2" s="2">
        <v>3.4470000000000001</v>
      </c>
      <c r="D2" s="2">
        <v>22.885999999999999</v>
      </c>
      <c r="E2" s="2">
        <v>6.73</v>
      </c>
      <c r="F2" s="2">
        <v>11.859</v>
      </c>
      <c r="G2" s="2">
        <v>18.59</v>
      </c>
      <c r="H2" s="2">
        <v>25.672999999999998</v>
      </c>
      <c r="I2" s="2">
        <v>5.9930000000000003</v>
      </c>
      <c r="J2" s="2">
        <v>3.3610000000000002</v>
      </c>
      <c r="K2" s="2">
        <v>2.7040000000000002</v>
      </c>
      <c r="L2" s="2">
        <v>3.5830000000000002</v>
      </c>
      <c r="M2" s="2">
        <v>0.84499999999999997</v>
      </c>
      <c r="N2" s="2">
        <v>0.35199999999999998</v>
      </c>
      <c r="O2" s="2">
        <v>9.1649999999999991</v>
      </c>
    </row>
    <row r="3" spans="1:15" x14ac:dyDescent="0.45">
      <c r="A3" s="3" t="s">
        <v>14</v>
      </c>
      <c r="B3" s="2">
        <v>73.409000000000006</v>
      </c>
      <c r="C3" s="2">
        <v>7.0380000000000003</v>
      </c>
      <c r="D3" s="2">
        <v>4.9640000000000004</v>
      </c>
      <c r="E3" s="2">
        <v>4.97</v>
      </c>
      <c r="F3" s="2">
        <v>4.8040000000000003</v>
      </c>
      <c r="G3" s="2">
        <v>9.7729999999999997</v>
      </c>
      <c r="H3" s="2">
        <v>7.25</v>
      </c>
      <c r="I3" s="2">
        <v>2.169</v>
      </c>
      <c r="J3" s="2">
        <v>0.81399999999999995</v>
      </c>
      <c r="K3" s="2">
        <v>1.373</v>
      </c>
      <c r="L3" s="2">
        <v>3.2559999999999998</v>
      </c>
      <c r="M3" s="2">
        <v>2.4209999999999998</v>
      </c>
      <c r="N3" s="2">
        <v>0.625</v>
      </c>
      <c r="O3" s="2">
        <v>35.911999999999999</v>
      </c>
    </row>
    <row r="4" spans="1:15" x14ac:dyDescent="0.45">
      <c r="A4" s="3" t="s">
        <v>15</v>
      </c>
      <c r="B4" s="2">
        <v>832.34299999999996</v>
      </c>
      <c r="C4" s="2">
        <v>19.992999999999999</v>
      </c>
      <c r="D4" s="2">
        <v>150.07599999999999</v>
      </c>
      <c r="E4" s="2">
        <v>186.78200000000001</v>
      </c>
      <c r="F4" s="2">
        <v>39.81</v>
      </c>
      <c r="G4" s="2">
        <v>226.59299999999999</v>
      </c>
      <c r="H4" s="2">
        <v>14.909000000000001</v>
      </c>
      <c r="I4" s="2">
        <v>7.3209999999999997</v>
      </c>
      <c r="J4" s="2">
        <v>2.6920000000000002</v>
      </c>
      <c r="K4" s="2">
        <v>4.7</v>
      </c>
      <c r="L4" s="2">
        <v>5.883</v>
      </c>
      <c r="M4" s="2">
        <v>38.326000000000001</v>
      </c>
      <c r="N4" s="2">
        <v>9.9550000000000001</v>
      </c>
      <c r="O4" s="2">
        <v>359.28899999999999</v>
      </c>
    </row>
    <row r="5" spans="1:15" x14ac:dyDescent="0.45">
      <c r="A5" s="3" t="s">
        <v>17</v>
      </c>
      <c r="B5" s="2">
        <v>2221.7080000000001</v>
      </c>
      <c r="C5" s="2">
        <v>70.105000000000004</v>
      </c>
      <c r="D5" s="2">
        <v>655.41300000000001</v>
      </c>
      <c r="E5" s="2">
        <v>119.68600000000001</v>
      </c>
      <c r="F5" s="2">
        <v>256.50099999999998</v>
      </c>
      <c r="G5" s="2">
        <v>376.18700000000001</v>
      </c>
      <c r="H5" s="2">
        <v>845.09400000000005</v>
      </c>
      <c r="I5" s="2">
        <v>82.747</v>
      </c>
      <c r="J5" s="2">
        <v>44.9</v>
      </c>
      <c r="K5" s="2">
        <v>38.646999999999998</v>
      </c>
      <c r="L5" s="2">
        <v>65.001000000000005</v>
      </c>
      <c r="M5" s="2">
        <v>22.547999999999998</v>
      </c>
      <c r="N5" s="2">
        <v>5.6719999999999997</v>
      </c>
      <c r="O5" s="2">
        <v>98.942999999999998</v>
      </c>
    </row>
    <row r="6" spans="1:15" x14ac:dyDescent="0.45">
      <c r="A6" s="3" t="s">
        <v>18</v>
      </c>
      <c r="B6" s="2">
        <v>742.649</v>
      </c>
      <c r="C6" s="2">
        <v>66.495999999999995</v>
      </c>
      <c r="D6" s="2">
        <v>50.057000000000002</v>
      </c>
      <c r="E6" s="2">
        <v>49.634</v>
      </c>
      <c r="F6" s="2">
        <v>49.13</v>
      </c>
      <c r="G6" s="2">
        <v>98.763999999999996</v>
      </c>
      <c r="H6" s="2">
        <v>71.971999999999994</v>
      </c>
      <c r="I6" s="2">
        <v>19.161999999999999</v>
      </c>
      <c r="J6" s="2">
        <v>5.8570000000000002</v>
      </c>
      <c r="K6" s="2">
        <v>13.427</v>
      </c>
      <c r="L6" s="2">
        <v>30.18</v>
      </c>
      <c r="M6" s="2">
        <v>24.242999999999999</v>
      </c>
      <c r="N6" s="2">
        <v>4.1459999999999999</v>
      </c>
      <c r="O6" s="2">
        <v>377.62900000000002</v>
      </c>
    </row>
    <row r="7" spans="1:15" x14ac:dyDescent="0.45">
      <c r="A7" s="3" t="s">
        <v>19</v>
      </c>
      <c r="B7" s="2">
        <v>109175.6</v>
      </c>
      <c r="C7" s="2">
        <v>2464.7800000000002</v>
      </c>
      <c r="D7" s="2">
        <v>17972.609</v>
      </c>
      <c r="E7" s="2">
        <v>27877.241000000002</v>
      </c>
      <c r="F7" s="2">
        <v>2628.2779999999998</v>
      </c>
      <c r="G7" s="2">
        <v>30505.519</v>
      </c>
      <c r="H7" s="2">
        <v>959.25699999999995</v>
      </c>
      <c r="I7" s="2">
        <v>631.24900000000002</v>
      </c>
      <c r="J7" s="2">
        <v>120.289</v>
      </c>
      <c r="K7" s="2">
        <v>514.56799999999998</v>
      </c>
      <c r="L7" s="2">
        <v>204.785</v>
      </c>
      <c r="M7" s="2">
        <v>5474.598</v>
      </c>
      <c r="N7" s="2">
        <v>693.97799999999995</v>
      </c>
      <c r="O7" s="2">
        <v>50268.824999999997</v>
      </c>
    </row>
    <row r="8" spans="1:15" x14ac:dyDescent="0.45">
      <c r="A8" s="3" t="s">
        <v>12</v>
      </c>
      <c r="B8" s="2">
        <v>996.28499999999997</v>
      </c>
      <c r="C8" s="2">
        <v>30.477</v>
      </c>
      <c r="D8" s="2">
        <v>177.92599999999999</v>
      </c>
      <c r="E8" s="2">
        <v>198.482</v>
      </c>
      <c r="F8" s="2">
        <v>56.472999999999999</v>
      </c>
      <c r="G8" s="2">
        <v>254.95500000000001</v>
      </c>
      <c r="H8" s="2">
        <v>47.831000000000003</v>
      </c>
      <c r="I8" s="2">
        <v>15.483000000000001</v>
      </c>
      <c r="J8" s="2">
        <v>6.867</v>
      </c>
      <c r="K8" s="2">
        <v>8.7769999999999992</v>
      </c>
      <c r="L8" s="2">
        <v>12.722</v>
      </c>
      <c r="M8" s="2">
        <v>41.591999999999999</v>
      </c>
      <c r="N8" s="2">
        <v>10.932</v>
      </c>
      <c r="O8" s="2">
        <v>404.36599999999999</v>
      </c>
    </row>
    <row r="9" spans="1:15" x14ac:dyDescent="0.45">
      <c r="A9" s="3" t="s">
        <v>16</v>
      </c>
      <c r="B9" s="2">
        <v>112139.95699999999</v>
      </c>
      <c r="C9" s="2">
        <v>2601.3809999999999</v>
      </c>
      <c r="D9" s="2">
        <v>18678.079000000002</v>
      </c>
      <c r="E9" s="2">
        <v>28046.560000000001</v>
      </c>
      <c r="F9" s="2">
        <v>2933.9090000000001</v>
      </c>
      <c r="G9" s="2">
        <v>30980.47</v>
      </c>
      <c r="H9" s="2">
        <v>1876.3230000000001</v>
      </c>
      <c r="I9" s="2">
        <v>733.15800000000002</v>
      </c>
      <c r="J9" s="2">
        <v>171.04599999999999</v>
      </c>
      <c r="K9" s="2">
        <v>566.64300000000003</v>
      </c>
      <c r="L9" s="2">
        <v>299.96600000000001</v>
      </c>
      <c r="M9" s="2">
        <v>5521.3890000000001</v>
      </c>
      <c r="N9" s="2">
        <v>703.79600000000005</v>
      </c>
      <c r="O9" s="2">
        <v>50745.396000000001</v>
      </c>
    </row>
    <row r="10" spans="1:15" x14ac:dyDescent="0.4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45"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5" x14ac:dyDescent="0.45">
      <c r="A12" s="3" t="s">
        <v>13</v>
      </c>
      <c r="B12" s="1">
        <v>36.189</v>
      </c>
      <c r="C12" s="2">
        <v>1.6739999999999999</v>
      </c>
      <c r="D12" s="2">
        <v>3.911</v>
      </c>
      <c r="E12" s="2">
        <v>4.1550000000000002</v>
      </c>
      <c r="F12" s="2">
        <v>4.51</v>
      </c>
      <c r="G12" s="2">
        <v>8.6660000000000004</v>
      </c>
      <c r="H12" s="2">
        <v>10.691000000000001</v>
      </c>
      <c r="I12" s="2">
        <v>5.1020000000000003</v>
      </c>
      <c r="J12" s="2">
        <v>3.2589999999999999</v>
      </c>
      <c r="K12" s="2">
        <v>1.915</v>
      </c>
      <c r="L12" s="2">
        <v>0.61499999999999999</v>
      </c>
      <c r="M12" s="2">
        <v>0.54400000000000004</v>
      </c>
      <c r="N12" s="2">
        <v>0.33300000000000002</v>
      </c>
      <c r="O12" s="2">
        <v>4.6539999999999999</v>
      </c>
    </row>
    <row r="13" spans="1:15" x14ac:dyDescent="0.45">
      <c r="A13" s="3" t="s">
        <v>14</v>
      </c>
      <c r="B13" s="2">
        <v>25.902999999999999</v>
      </c>
      <c r="C13" s="2">
        <v>3.0379999999999998</v>
      </c>
      <c r="D13" s="2">
        <v>0.82499999999999996</v>
      </c>
      <c r="E13" s="2">
        <v>2.242</v>
      </c>
      <c r="F13" s="2">
        <v>2.3050000000000002</v>
      </c>
      <c r="G13" s="2">
        <v>4.5469999999999997</v>
      </c>
      <c r="H13" s="2">
        <v>3.0390000000000001</v>
      </c>
      <c r="I13" s="2">
        <v>1.141</v>
      </c>
      <c r="J13" s="2">
        <v>0.76300000000000001</v>
      </c>
      <c r="K13" s="2">
        <v>0.39600000000000002</v>
      </c>
      <c r="L13" s="2">
        <v>0.16700000000000001</v>
      </c>
      <c r="M13" s="2">
        <v>1.089</v>
      </c>
      <c r="N13" s="2">
        <v>0.6</v>
      </c>
      <c r="O13" s="2">
        <v>11.457000000000001</v>
      </c>
    </row>
    <row r="14" spans="1:15" x14ac:dyDescent="0.45">
      <c r="A14" s="3" t="s">
        <v>15</v>
      </c>
      <c r="B14" s="2">
        <v>304.209</v>
      </c>
      <c r="C14" s="2">
        <v>12.648</v>
      </c>
      <c r="D14" s="2">
        <v>28.283000000000001</v>
      </c>
      <c r="E14" s="2">
        <v>69.83</v>
      </c>
      <c r="F14" s="2">
        <v>23.632999999999999</v>
      </c>
      <c r="G14" s="2">
        <v>93.463999999999999</v>
      </c>
      <c r="H14" s="2">
        <v>7.56</v>
      </c>
      <c r="I14" s="2">
        <v>4.3949999999999996</v>
      </c>
      <c r="J14" s="2">
        <v>2.609</v>
      </c>
      <c r="K14" s="2">
        <v>1.857</v>
      </c>
      <c r="L14" s="2">
        <v>1.228</v>
      </c>
      <c r="M14" s="2">
        <v>16.542000000000002</v>
      </c>
      <c r="N14" s="2">
        <v>9.1790000000000003</v>
      </c>
      <c r="O14" s="2">
        <v>130.90899999999999</v>
      </c>
    </row>
    <row r="15" spans="1:15" x14ac:dyDescent="0.45">
      <c r="A15" s="3" t="s">
        <v>17</v>
      </c>
      <c r="B15" s="2">
        <v>585.74400000000003</v>
      </c>
      <c r="C15" s="2">
        <v>23.794</v>
      </c>
      <c r="D15" s="2">
        <v>71.909000000000006</v>
      </c>
      <c r="E15" s="2">
        <v>56.850999999999999</v>
      </c>
      <c r="F15" s="2">
        <v>65.325000000000003</v>
      </c>
      <c r="G15" s="2">
        <v>122.176</v>
      </c>
      <c r="H15" s="2">
        <v>241.48500000000001</v>
      </c>
      <c r="I15" s="2">
        <v>61.177</v>
      </c>
      <c r="J15" s="2">
        <v>43.11</v>
      </c>
      <c r="K15" s="2">
        <v>18.867000000000001</v>
      </c>
      <c r="L15" s="2">
        <v>9.2799999999999994</v>
      </c>
      <c r="M15" s="2">
        <v>11.268000000000001</v>
      </c>
      <c r="N15" s="2">
        <v>5.3289999999999997</v>
      </c>
      <c r="O15" s="2">
        <v>39.326000000000001</v>
      </c>
    </row>
    <row r="16" spans="1:15" x14ac:dyDescent="0.45">
      <c r="A16" s="3" t="s">
        <v>18</v>
      </c>
      <c r="B16" s="2">
        <v>215.54599999999999</v>
      </c>
      <c r="C16" s="2">
        <v>23.331</v>
      </c>
      <c r="D16" s="2">
        <v>7.0720000000000001</v>
      </c>
      <c r="E16" s="2">
        <v>17.800999999999998</v>
      </c>
      <c r="F16" s="2">
        <v>19.73</v>
      </c>
      <c r="G16" s="2">
        <v>37.531999999999996</v>
      </c>
      <c r="H16" s="2">
        <v>27.576000000000001</v>
      </c>
      <c r="I16" s="2">
        <v>7.9189999999999996</v>
      </c>
      <c r="J16" s="2">
        <v>5.4740000000000002</v>
      </c>
      <c r="K16" s="2">
        <v>2.5670000000000002</v>
      </c>
      <c r="L16" s="2">
        <v>1.2150000000000001</v>
      </c>
      <c r="M16" s="2">
        <v>8.8610000000000007</v>
      </c>
      <c r="N16" s="2">
        <v>3.9950000000000001</v>
      </c>
      <c r="O16" s="2">
        <v>98.045000000000002</v>
      </c>
    </row>
    <row r="17" spans="1:15" x14ac:dyDescent="0.45">
      <c r="A17" s="3" t="s">
        <v>19</v>
      </c>
      <c r="B17" s="2">
        <v>22394.733</v>
      </c>
      <c r="C17" s="2">
        <v>1218.7660000000001</v>
      </c>
      <c r="D17" s="2">
        <v>2131.8620000000001</v>
      </c>
      <c r="E17" s="2">
        <v>6633.9390000000003</v>
      </c>
      <c r="F17" s="2">
        <v>1447.338</v>
      </c>
      <c r="G17" s="2">
        <v>8081.2759999999998</v>
      </c>
      <c r="H17" s="2">
        <v>437.65699999999998</v>
      </c>
      <c r="I17" s="2">
        <v>213.77500000000001</v>
      </c>
      <c r="J17" s="2">
        <v>117.65600000000001</v>
      </c>
      <c r="K17" s="2">
        <v>99.727000000000004</v>
      </c>
      <c r="L17" s="2">
        <v>48.253</v>
      </c>
      <c r="M17" s="2">
        <v>1193.8620000000001</v>
      </c>
      <c r="N17" s="2">
        <v>587.95699999999999</v>
      </c>
      <c r="O17" s="2">
        <v>8481.3240000000005</v>
      </c>
    </row>
    <row r="18" spans="1:15" x14ac:dyDescent="0.45">
      <c r="A18" s="3" t="s">
        <v>12</v>
      </c>
      <c r="B18" s="2">
        <v>366.3</v>
      </c>
      <c r="C18" s="2">
        <v>17.36</v>
      </c>
      <c r="D18" s="2">
        <v>33.018999999999998</v>
      </c>
      <c r="E18" s="2">
        <v>76.227999999999994</v>
      </c>
      <c r="F18" s="2">
        <v>30.449000000000002</v>
      </c>
      <c r="G18" s="2">
        <v>106.676</v>
      </c>
      <c r="H18" s="2">
        <v>21.29</v>
      </c>
      <c r="I18" s="2">
        <v>10.638999999999999</v>
      </c>
      <c r="J18" s="2">
        <v>6.6319999999999997</v>
      </c>
      <c r="K18" s="2">
        <v>4.1680000000000001</v>
      </c>
      <c r="L18" s="2">
        <v>2.0099999999999998</v>
      </c>
      <c r="M18" s="2">
        <v>18.175000000000001</v>
      </c>
      <c r="N18" s="2">
        <v>10.112</v>
      </c>
      <c r="O18" s="2">
        <v>147.02000000000001</v>
      </c>
    </row>
    <row r="19" spans="1:15" x14ac:dyDescent="0.45">
      <c r="A19" s="3" t="s">
        <v>16</v>
      </c>
      <c r="B19" s="2">
        <v>23196.023000000001</v>
      </c>
      <c r="C19" s="2">
        <v>1265.8910000000001</v>
      </c>
      <c r="D19" s="2">
        <v>2210.8429999999998</v>
      </c>
      <c r="E19" s="2">
        <v>6708.5910000000003</v>
      </c>
      <c r="F19" s="2">
        <v>1532.393</v>
      </c>
      <c r="G19" s="2">
        <v>8240.9840000000004</v>
      </c>
      <c r="H19" s="2">
        <v>706.71699999999998</v>
      </c>
      <c r="I19" s="2">
        <v>282.87099999999998</v>
      </c>
      <c r="J19" s="2">
        <v>166.24</v>
      </c>
      <c r="K19" s="2">
        <v>121.161</v>
      </c>
      <c r="L19" s="2">
        <v>58.749000000000002</v>
      </c>
      <c r="M19" s="2">
        <v>1213.991</v>
      </c>
      <c r="N19" s="2">
        <v>597.28099999999995</v>
      </c>
      <c r="O19" s="2">
        <v>8618.6959999999999</v>
      </c>
    </row>
    <row r="22" spans="1:15" x14ac:dyDescent="0.45">
      <c r="A22" t="s">
        <v>48</v>
      </c>
      <c r="B22" s="24">
        <f>B12/(B12+B13+B14)</f>
        <v>9.8795799083267591E-2</v>
      </c>
      <c r="C22" s="24">
        <f t="shared" ref="C22:O22" si="0">C12/(C12+C13+C14)</f>
        <v>9.6428571428571433E-2</v>
      </c>
      <c r="D22" s="24">
        <f t="shared" si="0"/>
        <v>0.11844695478360945</v>
      </c>
      <c r="E22" s="24">
        <f t="shared" si="0"/>
        <v>5.4508245110000395E-2</v>
      </c>
      <c r="F22" s="24">
        <f t="shared" si="0"/>
        <v>0.14812138728323698</v>
      </c>
      <c r="G22" s="24">
        <f t="shared" si="0"/>
        <v>8.1235880274098463E-2</v>
      </c>
      <c r="H22" s="24">
        <f t="shared" si="0"/>
        <v>0.50216063879755757</v>
      </c>
      <c r="I22" s="24">
        <f t="shared" si="0"/>
        <v>0.47960142884000756</v>
      </c>
      <c r="J22" s="24">
        <f t="shared" si="0"/>
        <v>0.49147941486955204</v>
      </c>
      <c r="K22" s="24">
        <f t="shared" si="0"/>
        <v>0.45945297504798466</v>
      </c>
      <c r="L22" s="24">
        <f t="shared" si="0"/>
        <v>0.30597014925373139</v>
      </c>
      <c r="M22" s="24">
        <f t="shared" si="0"/>
        <v>2.9931224209078407E-2</v>
      </c>
      <c r="N22" s="24">
        <f t="shared" si="0"/>
        <v>3.2931170886075951E-2</v>
      </c>
      <c r="O22" s="24">
        <f t="shared" si="0"/>
        <v>3.1655557067065708E-2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8FBE-B6CD-41B9-BA71-509E85B61E55}">
  <dimension ref="A1:O23"/>
  <sheetViews>
    <sheetView workbookViewId="0">
      <selection activeCell="A22" sqref="A22:A23"/>
    </sheetView>
  </sheetViews>
  <sheetFormatPr defaultRowHeight="14.25" x14ac:dyDescent="0.45"/>
  <cols>
    <col min="1" max="1" width="22.265625" customWidth="1"/>
    <col min="2" max="2" width="9.19921875" bestFit="1" customWidth="1"/>
    <col min="3" max="15" width="9.1328125" bestFit="1" customWidth="1"/>
  </cols>
  <sheetData>
    <row r="1" spans="1:15" x14ac:dyDescent="0.4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45">
      <c r="A2" s="2" t="s">
        <v>13</v>
      </c>
      <c r="B2" s="3">
        <v>95.734999999999999</v>
      </c>
      <c r="C2" s="3">
        <v>3.5409999999999999</v>
      </c>
      <c r="D2" s="3">
        <v>24.419</v>
      </c>
      <c r="E2" s="3">
        <v>7.0250000000000004</v>
      </c>
      <c r="F2" s="3">
        <v>12.622999999999999</v>
      </c>
      <c r="G2" s="3">
        <v>19.648</v>
      </c>
      <c r="H2" s="3">
        <v>27.783999999999999</v>
      </c>
      <c r="I2" s="3">
        <v>6.16</v>
      </c>
      <c r="J2" s="3">
        <v>3.4449999999999998</v>
      </c>
      <c r="K2" s="3">
        <v>2.7879999999999998</v>
      </c>
      <c r="L2" s="3">
        <v>3.6680000000000001</v>
      </c>
      <c r="M2" s="3">
        <v>0.89</v>
      </c>
      <c r="N2" s="3">
        <v>0.36</v>
      </c>
      <c r="O2" s="3">
        <v>9.266</v>
      </c>
    </row>
    <row r="3" spans="1:15" x14ac:dyDescent="0.45">
      <c r="A3" s="2" t="s">
        <v>14</v>
      </c>
      <c r="B3" s="3">
        <v>73.411000000000001</v>
      </c>
      <c r="C3" s="3">
        <v>7.04</v>
      </c>
      <c r="D3" s="3">
        <v>4.9649999999999999</v>
      </c>
      <c r="E3" s="3">
        <v>4.97</v>
      </c>
      <c r="F3" s="3">
        <v>4.8040000000000003</v>
      </c>
      <c r="G3" s="3">
        <v>9.7729999999999997</v>
      </c>
      <c r="H3" s="3">
        <v>7.2489999999999997</v>
      </c>
      <c r="I3" s="3">
        <v>2.169</v>
      </c>
      <c r="J3" s="3">
        <v>0.81399999999999995</v>
      </c>
      <c r="K3" s="3">
        <v>1.3740000000000001</v>
      </c>
      <c r="L3" s="3">
        <v>3.2559999999999998</v>
      </c>
      <c r="M3" s="3">
        <v>2.4209999999999998</v>
      </c>
      <c r="N3" s="3">
        <v>0.625</v>
      </c>
      <c r="O3" s="3">
        <v>35.911000000000001</v>
      </c>
    </row>
    <row r="4" spans="1:15" x14ac:dyDescent="0.45">
      <c r="A4" s="2" t="s">
        <v>15</v>
      </c>
      <c r="B4" s="3">
        <v>832.327</v>
      </c>
      <c r="C4" s="3">
        <v>20.016999999999999</v>
      </c>
      <c r="D4" s="3">
        <v>150.041</v>
      </c>
      <c r="E4" s="3">
        <v>186.79300000000001</v>
      </c>
      <c r="F4" s="3">
        <v>39.819000000000003</v>
      </c>
      <c r="G4" s="3">
        <v>226.61199999999999</v>
      </c>
      <c r="H4" s="3">
        <v>14.901999999999999</v>
      </c>
      <c r="I4" s="3">
        <v>7.3220000000000001</v>
      </c>
      <c r="J4" s="3">
        <v>2.6890000000000001</v>
      </c>
      <c r="K4" s="3">
        <v>4.7030000000000003</v>
      </c>
      <c r="L4" s="3">
        <v>5.883</v>
      </c>
      <c r="M4" s="3">
        <v>38.326000000000001</v>
      </c>
      <c r="N4" s="3">
        <v>9.9559999999999995</v>
      </c>
      <c r="O4" s="3">
        <v>359.26799999999997</v>
      </c>
    </row>
    <row r="5" spans="1:15" x14ac:dyDescent="0.45">
      <c r="A5" s="2" t="s">
        <v>17</v>
      </c>
      <c r="B5" s="3">
        <v>2221.71</v>
      </c>
      <c r="C5" s="3">
        <v>70.105000000000004</v>
      </c>
      <c r="D5" s="3">
        <v>655.41399999999999</v>
      </c>
      <c r="E5" s="3">
        <v>119.682</v>
      </c>
      <c r="F5" s="3">
        <v>256.50599999999997</v>
      </c>
      <c r="G5" s="3">
        <v>376.18700000000001</v>
      </c>
      <c r="H5" s="3">
        <v>845.08299999999997</v>
      </c>
      <c r="I5" s="3">
        <v>82.754999999999995</v>
      </c>
      <c r="J5" s="3">
        <v>44.904000000000003</v>
      </c>
      <c r="K5" s="3">
        <v>38.651000000000003</v>
      </c>
      <c r="L5" s="3">
        <v>65.003</v>
      </c>
      <c r="M5" s="3">
        <v>22.547999999999998</v>
      </c>
      <c r="N5" s="3">
        <v>5.6719999999999997</v>
      </c>
      <c r="O5" s="3">
        <v>98.942999999999998</v>
      </c>
    </row>
    <row r="6" spans="1:15" x14ac:dyDescent="0.45">
      <c r="A6" s="2" t="s">
        <v>18</v>
      </c>
      <c r="B6" s="3">
        <v>742.649</v>
      </c>
      <c r="C6" s="3">
        <v>66.5</v>
      </c>
      <c r="D6" s="3">
        <v>50.058</v>
      </c>
      <c r="E6" s="3">
        <v>49.634999999999998</v>
      </c>
      <c r="F6" s="3">
        <v>49.131</v>
      </c>
      <c r="G6" s="3">
        <v>98.766000000000005</v>
      </c>
      <c r="H6" s="3">
        <v>71.968999999999994</v>
      </c>
      <c r="I6" s="3">
        <v>19.161999999999999</v>
      </c>
      <c r="J6" s="3">
        <v>5.8579999999999997</v>
      </c>
      <c r="K6" s="3">
        <v>13.426</v>
      </c>
      <c r="L6" s="3">
        <v>30.181000000000001</v>
      </c>
      <c r="M6" s="3">
        <v>24.242999999999999</v>
      </c>
      <c r="N6" s="3">
        <v>4.1459999999999999</v>
      </c>
      <c r="O6" s="3">
        <v>377.625</v>
      </c>
    </row>
    <row r="7" spans="1:15" x14ac:dyDescent="0.45">
      <c r="A7" s="2" t="s">
        <v>19</v>
      </c>
      <c r="B7" s="3">
        <v>109167.74</v>
      </c>
      <c r="C7" s="3">
        <v>2464.788</v>
      </c>
      <c r="D7" s="3">
        <v>17970.723000000002</v>
      </c>
      <c r="E7" s="3">
        <v>27877.322</v>
      </c>
      <c r="F7" s="3">
        <v>2628.68</v>
      </c>
      <c r="G7" s="3">
        <v>30506.002</v>
      </c>
      <c r="H7" s="3">
        <v>957.97799999999995</v>
      </c>
      <c r="I7" s="3">
        <v>631.52099999999996</v>
      </c>
      <c r="J7" s="3">
        <v>120.02200000000001</v>
      </c>
      <c r="K7" s="3">
        <v>515.09100000000001</v>
      </c>
      <c r="L7" s="3">
        <v>204.84</v>
      </c>
      <c r="M7" s="3">
        <v>5473.518</v>
      </c>
      <c r="N7" s="3">
        <v>694.05100000000004</v>
      </c>
      <c r="O7" s="3">
        <v>50264.319000000003</v>
      </c>
    </row>
    <row r="8" spans="1:15" x14ac:dyDescent="0.45">
      <c r="A8" s="2" t="s">
        <v>12</v>
      </c>
      <c r="B8" s="3">
        <v>1001.473</v>
      </c>
      <c r="C8" s="3">
        <v>30.597999999999999</v>
      </c>
      <c r="D8" s="3">
        <v>179.42500000000001</v>
      </c>
      <c r="E8" s="3">
        <v>198.78700000000001</v>
      </c>
      <c r="F8" s="3">
        <v>57.246000000000002</v>
      </c>
      <c r="G8" s="3">
        <v>256.03300000000002</v>
      </c>
      <c r="H8" s="3">
        <v>49.935000000000002</v>
      </c>
      <c r="I8" s="3">
        <v>15.651</v>
      </c>
      <c r="J8" s="3">
        <v>6.9489999999999998</v>
      </c>
      <c r="K8" s="3">
        <v>8.8640000000000008</v>
      </c>
      <c r="L8" s="3">
        <v>12.807</v>
      </c>
      <c r="M8" s="3">
        <v>41.637</v>
      </c>
      <c r="N8" s="3">
        <v>10.941000000000001</v>
      </c>
      <c r="O8" s="3">
        <v>404.44499999999999</v>
      </c>
    </row>
    <row r="9" spans="1:15" x14ac:dyDescent="0.45">
      <c r="A9" s="2" t="s">
        <v>16</v>
      </c>
      <c r="B9" s="3">
        <v>112132.1</v>
      </c>
      <c r="C9" s="3">
        <v>2601.3919999999998</v>
      </c>
      <c r="D9" s="3">
        <v>18676.195</v>
      </c>
      <c r="E9" s="3">
        <v>28046.638999999999</v>
      </c>
      <c r="F9" s="3">
        <v>2934.317</v>
      </c>
      <c r="G9" s="3">
        <v>30980.955999999998</v>
      </c>
      <c r="H9" s="3">
        <v>1875.03</v>
      </c>
      <c r="I9" s="3">
        <v>733.43799999999999</v>
      </c>
      <c r="J9" s="3">
        <v>170.78399999999999</v>
      </c>
      <c r="K9" s="3">
        <v>567.16899999999998</v>
      </c>
      <c r="L9" s="3">
        <v>300.024</v>
      </c>
      <c r="M9" s="3">
        <v>5520.308</v>
      </c>
      <c r="N9" s="3">
        <v>703.86900000000003</v>
      </c>
      <c r="O9" s="3">
        <v>50740.887000000002</v>
      </c>
    </row>
    <row r="10" spans="1:15" x14ac:dyDescent="0.4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45"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5" s="6" customFormat="1" x14ac:dyDescent="0.45">
      <c r="A12" s="4" t="s">
        <v>13</v>
      </c>
      <c r="B12" s="5">
        <v>37.353999999999999</v>
      </c>
      <c r="C12" s="5">
        <v>1.6970000000000001</v>
      </c>
      <c r="D12" s="5">
        <v>4.0720000000000001</v>
      </c>
      <c r="E12" s="5">
        <v>4.2850000000000001</v>
      </c>
      <c r="F12" s="5">
        <v>4.6719999999999997</v>
      </c>
      <c r="G12" s="5">
        <v>8.9570000000000007</v>
      </c>
      <c r="H12" s="5">
        <v>11.183999999999999</v>
      </c>
      <c r="I12" s="5">
        <v>5.2149999999999999</v>
      </c>
      <c r="J12" s="5">
        <v>3.3410000000000002</v>
      </c>
      <c r="K12" s="5">
        <v>1.948</v>
      </c>
      <c r="L12" s="5">
        <v>0.627</v>
      </c>
      <c r="M12" s="5">
        <v>0.56499999999999995</v>
      </c>
      <c r="N12" s="5">
        <v>0.34</v>
      </c>
      <c r="O12" s="5">
        <v>4.6970000000000001</v>
      </c>
    </row>
    <row r="13" spans="1:15" x14ac:dyDescent="0.45">
      <c r="A13" s="3" t="s">
        <v>14</v>
      </c>
      <c r="B13" s="2">
        <v>25.9</v>
      </c>
      <c r="C13" s="2">
        <v>3.0369999999999999</v>
      </c>
      <c r="D13" s="2">
        <v>0.82499999999999996</v>
      </c>
      <c r="E13" s="2">
        <v>2.242</v>
      </c>
      <c r="F13" s="2">
        <v>2.306</v>
      </c>
      <c r="G13" s="2">
        <v>4.5469999999999997</v>
      </c>
      <c r="H13" s="2">
        <v>3.0390000000000001</v>
      </c>
      <c r="I13" s="2">
        <v>1.141</v>
      </c>
      <c r="J13" s="2">
        <v>0.76300000000000001</v>
      </c>
      <c r="K13" s="2">
        <v>0.39700000000000002</v>
      </c>
      <c r="L13" s="2">
        <v>0.16700000000000001</v>
      </c>
      <c r="M13" s="2">
        <v>1.089</v>
      </c>
      <c r="N13" s="2">
        <v>0.6</v>
      </c>
      <c r="O13" s="2">
        <v>11.455</v>
      </c>
    </row>
    <row r="14" spans="1:15" x14ac:dyDescent="0.45">
      <c r="A14" s="3" t="s">
        <v>15</v>
      </c>
      <c r="B14" s="2">
        <v>304.23200000000003</v>
      </c>
      <c r="C14" s="2">
        <v>12.667</v>
      </c>
      <c r="D14" s="2">
        <v>28.271000000000001</v>
      </c>
      <c r="E14" s="2">
        <v>69.840999999999994</v>
      </c>
      <c r="F14" s="2">
        <v>23.638000000000002</v>
      </c>
      <c r="G14" s="2">
        <v>93.478999999999999</v>
      </c>
      <c r="H14" s="2">
        <v>7.5579999999999998</v>
      </c>
      <c r="I14" s="2">
        <v>4.3929999999999998</v>
      </c>
      <c r="J14" s="2">
        <v>2.6070000000000002</v>
      </c>
      <c r="K14" s="2">
        <v>1.8560000000000001</v>
      </c>
      <c r="L14" s="2">
        <v>1.2290000000000001</v>
      </c>
      <c r="M14" s="2">
        <v>16.539000000000001</v>
      </c>
      <c r="N14" s="2">
        <v>9.1790000000000003</v>
      </c>
      <c r="O14" s="2">
        <v>130.91800000000001</v>
      </c>
    </row>
    <row r="15" spans="1:15" x14ac:dyDescent="0.45">
      <c r="A15" s="3" t="s">
        <v>17</v>
      </c>
      <c r="B15" s="2">
        <v>585.74800000000005</v>
      </c>
      <c r="C15" s="2">
        <v>23.792999999999999</v>
      </c>
      <c r="D15" s="2">
        <v>71.906999999999996</v>
      </c>
      <c r="E15" s="2">
        <v>56.853000000000002</v>
      </c>
      <c r="F15" s="2">
        <v>65.322999999999993</v>
      </c>
      <c r="G15" s="2">
        <v>122.176</v>
      </c>
      <c r="H15" s="2">
        <v>241.483</v>
      </c>
      <c r="I15" s="2">
        <v>61.183999999999997</v>
      </c>
      <c r="J15" s="2">
        <v>43.113999999999997</v>
      </c>
      <c r="K15" s="2">
        <v>18.870999999999999</v>
      </c>
      <c r="L15" s="2">
        <v>9.2810000000000006</v>
      </c>
      <c r="M15" s="2">
        <v>11.268000000000001</v>
      </c>
      <c r="N15" s="2">
        <v>5.3289999999999997</v>
      </c>
      <c r="O15" s="2">
        <v>39.326999999999998</v>
      </c>
    </row>
    <row r="16" spans="1:15" x14ac:dyDescent="0.45">
      <c r="A16" s="3" t="s">
        <v>18</v>
      </c>
      <c r="B16" s="2">
        <v>215.53299999999999</v>
      </c>
      <c r="C16" s="2">
        <v>23.318999999999999</v>
      </c>
      <c r="D16" s="2">
        <v>7.0720000000000001</v>
      </c>
      <c r="E16" s="2">
        <v>17.803000000000001</v>
      </c>
      <c r="F16" s="2">
        <v>19.731999999999999</v>
      </c>
      <c r="G16" s="2">
        <v>37.534999999999997</v>
      </c>
      <c r="H16" s="2">
        <v>27.576000000000001</v>
      </c>
      <c r="I16" s="2">
        <v>7.9210000000000003</v>
      </c>
      <c r="J16" s="2">
        <v>5.4749999999999996</v>
      </c>
      <c r="K16" s="2">
        <v>2.5680000000000001</v>
      </c>
      <c r="L16" s="2">
        <v>1.2150000000000001</v>
      </c>
      <c r="M16" s="2">
        <v>8.8620000000000001</v>
      </c>
      <c r="N16" s="2">
        <v>3.9950000000000001</v>
      </c>
      <c r="O16" s="2">
        <v>98.037000000000006</v>
      </c>
    </row>
    <row r="17" spans="1:15" x14ac:dyDescent="0.45">
      <c r="A17" s="3" t="s">
        <v>19</v>
      </c>
      <c r="B17" s="2">
        <v>22392.775000000001</v>
      </c>
      <c r="C17" s="2">
        <v>1219.2170000000001</v>
      </c>
      <c r="D17" s="2">
        <v>2131.652</v>
      </c>
      <c r="E17" s="2">
        <v>6633.8829999999998</v>
      </c>
      <c r="F17" s="2">
        <v>1447.364</v>
      </c>
      <c r="G17" s="2">
        <v>8081.2470000000003</v>
      </c>
      <c r="H17" s="2">
        <v>437.28199999999998</v>
      </c>
      <c r="I17" s="2">
        <v>213.37799999999999</v>
      </c>
      <c r="J17" s="2">
        <v>117.39400000000001</v>
      </c>
      <c r="K17" s="2">
        <v>99.575000000000003</v>
      </c>
      <c r="L17" s="2">
        <v>48.277000000000001</v>
      </c>
      <c r="M17" s="2">
        <v>1193.6880000000001</v>
      </c>
      <c r="N17" s="2">
        <v>587.91700000000003</v>
      </c>
      <c r="O17" s="2">
        <v>8480.1180000000004</v>
      </c>
    </row>
    <row r="18" spans="1:15" x14ac:dyDescent="0.45">
      <c r="A18" s="3" t="s">
        <v>12</v>
      </c>
      <c r="B18" s="2">
        <v>367.48700000000002</v>
      </c>
      <c r="C18" s="2">
        <v>17.402000000000001</v>
      </c>
      <c r="D18" s="2">
        <v>33.167000000000002</v>
      </c>
      <c r="E18" s="2">
        <v>76.367000000000004</v>
      </c>
      <c r="F18" s="2">
        <v>30.616</v>
      </c>
      <c r="G18" s="2">
        <v>106.98399999999999</v>
      </c>
      <c r="H18" s="2">
        <v>21.782</v>
      </c>
      <c r="I18" s="2">
        <v>10.749000000000001</v>
      </c>
      <c r="J18" s="2">
        <v>6.7110000000000003</v>
      </c>
      <c r="K18" s="2">
        <v>4.2</v>
      </c>
      <c r="L18" s="2">
        <v>2.0219999999999998</v>
      </c>
      <c r="M18" s="2">
        <v>18.193000000000001</v>
      </c>
      <c r="N18" s="2">
        <v>10.118</v>
      </c>
      <c r="O18" s="2">
        <v>147.06899999999999</v>
      </c>
    </row>
    <row r="19" spans="1:15" x14ac:dyDescent="0.45">
      <c r="A19" s="3" t="s">
        <v>16</v>
      </c>
      <c r="B19" s="2">
        <v>23194.055</v>
      </c>
      <c r="C19" s="2">
        <v>1266.329</v>
      </c>
      <c r="D19" s="2">
        <v>2210.6309999999999</v>
      </c>
      <c r="E19" s="2">
        <v>6708.5389999999998</v>
      </c>
      <c r="F19" s="2">
        <v>1532.4190000000001</v>
      </c>
      <c r="G19" s="2">
        <v>8240.9580000000005</v>
      </c>
      <c r="H19" s="2">
        <v>706.34100000000001</v>
      </c>
      <c r="I19" s="2">
        <v>282.483</v>
      </c>
      <c r="J19" s="2">
        <v>165.98400000000001</v>
      </c>
      <c r="K19" s="2">
        <v>121.014</v>
      </c>
      <c r="L19" s="2">
        <v>58.773000000000003</v>
      </c>
      <c r="M19" s="2">
        <v>1213.817</v>
      </c>
      <c r="N19" s="2">
        <v>597.24099999999999</v>
      </c>
      <c r="O19" s="2">
        <v>8617.482</v>
      </c>
    </row>
    <row r="22" spans="1:15" x14ac:dyDescent="0.45">
      <c r="A22" t="s">
        <v>48</v>
      </c>
      <c r="B22" s="24">
        <f t="shared" ref="B22:O22" si="0">B12/(B12+B13+B14)</f>
        <v>0.10164740969724015</v>
      </c>
      <c r="C22" s="24">
        <f t="shared" si="0"/>
        <v>9.7523130854548598E-2</v>
      </c>
      <c r="D22" s="24">
        <f t="shared" si="0"/>
        <v>0.12276893391220454</v>
      </c>
      <c r="E22" s="24">
        <f t="shared" si="0"/>
        <v>5.6109888958726171E-2</v>
      </c>
      <c r="F22" s="24">
        <f t="shared" si="0"/>
        <v>0.15259994773974392</v>
      </c>
      <c r="G22" s="24">
        <f t="shared" si="0"/>
        <v>8.3723582251385736E-2</v>
      </c>
      <c r="H22" s="24">
        <f t="shared" si="0"/>
        <v>0.51347504705936364</v>
      </c>
      <c r="I22" s="24">
        <f t="shared" si="0"/>
        <v>0.48516141036375482</v>
      </c>
      <c r="J22" s="24">
        <f t="shared" si="0"/>
        <v>0.4978393682014603</v>
      </c>
      <c r="K22" s="24">
        <f t="shared" si="0"/>
        <v>0.46369911925731971</v>
      </c>
      <c r="L22" s="24">
        <f t="shared" si="0"/>
        <v>0.30993573900148291</v>
      </c>
      <c r="M22" s="24">
        <f t="shared" si="0"/>
        <v>3.1055900621118009E-2</v>
      </c>
      <c r="N22" s="24">
        <f t="shared" si="0"/>
        <v>3.3600158118391149E-2</v>
      </c>
      <c r="O22" s="24">
        <f t="shared" si="0"/>
        <v>3.1937172774869113E-2</v>
      </c>
    </row>
    <row r="23" spans="1:15" x14ac:dyDescent="0.45">
      <c r="A23" t="s">
        <v>46</v>
      </c>
      <c r="B23" s="25">
        <f>Low_BASE!B22-Low_RESI!B22</f>
        <v>-2.8516106139725578E-3</v>
      </c>
      <c r="C23" s="25">
        <f>Low_BASE!C22-Low_RESI!C22</f>
        <v>-1.0945594259771652E-3</v>
      </c>
      <c r="D23" s="25">
        <f>Low_BASE!D22-Low_RESI!D22</f>
        <v>-4.3219791285950965E-3</v>
      </c>
      <c r="E23" s="25">
        <f>Low_BASE!E22-Low_RESI!E22</f>
        <v>-1.601643848725777E-3</v>
      </c>
      <c r="F23" s="25">
        <f>Low_BASE!F22-Low_RESI!F22</f>
        <v>-4.4785604565069359E-3</v>
      </c>
      <c r="G23" s="25">
        <f>Low_BASE!G22-Low_RESI!G22</f>
        <v>-2.4877019772872738E-3</v>
      </c>
      <c r="H23" s="25">
        <f>Low_BASE!H22-Low_RESI!H22</f>
        <v>-1.1314408261806075E-2</v>
      </c>
      <c r="I23" s="25">
        <f>Low_BASE!I22-Low_RESI!I22</f>
        <v>-5.5599815237472594E-3</v>
      </c>
      <c r="J23" s="25">
        <f>Low_BASE!J22-Low_RESI!J22</f>
        <v>-6.3599533319082524E-3</v>
      </c>
      <c r="K23" s="25">
        <f>Low_BASE!K22-Low_RESI!K22</f>
        <v>-4.2461442093350565E-3</v>
      </c>
      <c r="L23" s="25">
        <f>Low_BASE!L22-Low_RESI!L22</f>
        <v>-3.965589747751519E-3</v>
      </c>
      <c r="M23" s="25">
        <f>Low_BASE!M22-Low_RESI!M22</f>
        <v>-1.1246764120396019E-3</v>
      </c>
      <c r="N23" s="25">
        <f>Low_BASE!N22-Low_RESI!N22</f>
        <v>-6.6898723231519769E-4</v>
      </c>
      <c r="O23" s="25">
        <f>Low_BASE!O22-Low_RESI!O22</f>
        <v>-2.8161570780340511E-4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F036-AD3E-4395-9985-F1957160DADE}">
  <dimension ref="A1:O25"/>
  <sheetViews>
    <sheetView workbookViewId="0">
      <selection activeCell="A25" sqref="A25"/>
    </sheetView>
  </sheetViews>
  <sheetFormatPr defaultRowHeight="14.25" x14ac:dyDescent="0.45"/>
  <cols>
    <col min="1" max="1" width="29.1328125" customWidth="1"/>
    <col min="2" max="2" width="9.19921875" bestFit="1" customWidth="1"/>
    <col min="3" max="15" width="9.1328125" bestFit="1" customWidth="1"/>
  </cols>
  <sheetData>
    <row r="1" spans="1:15" x14ac:dyDescent="0.4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45">
      <c r="A2" t="s">
        <v>13</v>
      </c>
      <c r="B2" s="2">
        <v>127.264</v>
      </c>
      <c r="C2" s="2">
        <v>8.6259999999999994</v>
      </c>
      <c r="D2" s="2">
        <v>29.044</v>
      </c>
      <c r="E2" s="2">
        <v>10.226000000000001</v>
      </c>
      <c r="F2" s="2">
        <v>18.177</v>
      </c>
      <c r="G2" s="2">
        <v>28.402999999999999</v>
      </c>
      <c r="H2" s="2">
        <v>30.797000000000001</v>
      </c>
      <c r="I2" s="2">
        <v>7.0049999999999999</v>
      </c>
      <c r="J2" s="2">
        <v>3.6110000000000002</v>
      </c>
      <c r="K2" s="2">
        <v>3.4710000000000001</v>
      </c>
      <c r="L2" s="2">
        <v>4.2329999999999997</v>
      </c>
      <c r="M2" s="2">
        <v>1.359</v>
      </c>
      <c r="N2" s="2">
        <v>0.54600000000000004</v>
      </c>
      <c r="O2" s="2">
        <v>17.251999999999999</v>
      </c>
    </row>
    <row r="3" spans="1:15" x14ac:dyDescent="0.45">
      <c r="A3" t="s">
        <v>14</v>
      </c>
      <c r="B3" s="2">
        <v>73.406999999999996</v>
      </c>
      <c r="C3" s="2">
        <v>7.0359999999999996</v>
      </c>
      <c r="D3" s="2">
        <v>4.9640000000000004</v>
      </c>
      <c r="E3" s="2">
        <v>4.97</v>
      </c>
      <c r="F3" s="2">
        <v>4.8040000000000003</v>
      </c>
      <c r="G3" s="2">
        <v>9.7729999999999997</v>
      </c>
      <c r="H3" s="2">
        <v>7.2489999999999997</v>
      </c>
      <c r="I3" s="2">
        <v>2.169</v>
      </c>
      <c r="J3" s="2">
        <v>0.81399999999999995</v>
      </c>
      <c r="K3" s="2">
        <v>1.373</v>
      </c>
      <c r="L3" s="2">
        <v>3.2559999999999998</v>
      </c>
      <c r="M3" s="2">
        <v>2.4209999999999998</v>
      </c>
      <c r="N3" s="2">
        <v>0.626</v>
      </c>
      <c r="O3" s="2">
        <v>35.911999999999999</v>
      </c>
    </row>
    <row r="4" spans="1:15" x14ac:dyDescent="0.45">
      <c r="A4" t="s">
        <v>15</v>
      </c>
      <c r="B4" s="2">
        <v>832.38099999999997</v>
      </c>
      <c r="C4" s="2">
        <v>20.029</v>
      </c>
      <c r="D4" s="2">
        <v>150.05500000000001</v>
      </c>
      <c r="E4" s="2">
        <v>186.78100000000001</v>
      </c>
      <c r="F4" s="2">
        <v>39.808999999999997</v>
      </c>
      <c r="G4" s="2">
        <v>226.59</v>
      </c>
      <c r="H4" s="2">
        <v>14.912000000000001</v>
      </c>
      <c r="I4" s="2">
        <v>7.3230000000000004</v>
      </c>
      <c r="J4" s="2">
        <v>2.6909999999999998</v>
      </c>
      <c r="K4" s="2">
        <v>4.702</v>
      </c>
      <c r="L4" s="2">
        <v>5.88</v>
      </c>
      <c r="M4" s="2">
        <v>38.329000000000001</v>
      </c>
      <c r="N4" s="2">
        <v>9.9510000000000005</v>
      </c>
      <c r="O4" s="2">
        <v>359.31200000000001</v>
      </c>
    </row>
    <row r="5" spans="1:15" x14ac:dyDescent="0.45">
      <c r="A5" t="s">
        <v>17</v>
      </c>
      <c r="B5" s="2">
        <v>2221.7089999999998</v>
      </c>
      <c r="C5" s="2">
        <v>70.103999999999999</v>
      </c>
      <c r="D5" s="2">
        <v>655.41399999999999</v>
      </c>
      <c r="E5" s="2">
        <v>119.68</v>
      </c>
      <c r="F5" s="2">
        <v>256.51499999999999</v>
      </c>
      <c r="G5" s="2">
        <v>376.19499999999999</v>
      </c>
      <c r="H5" s="2">
        <v>845.07799999999997</v>
      </c>
      <c r="I5" s="2">
        <v>82.757999999999996</v>
      </c>
      <c r="J5" s="2">
        <v>44.905999999999999</v>
      </c>
      <c r="K5" s="2">
        <v>38.652000000000001</v>
      </c>
      <c r="L5" s="2">
        <v>64.997</v>
      </c>
      <c r="M5" s="2">
        <v>22.547000000000001</v>
      </c>
      <c r="N5" s="2">
        <v>5.6719999999999997</v>
      </c>
      <c r="O5" s="2">
        <v>98.944000000000003</v>
      </c>
    </row>
    <row r="6" spans="1:15" x14ac:dyDescent="0.45">
      <c r="A6" t="s">
        <v>18</v>
      </c>
      <c r="B6" s="2">
        <v>742.65099999999995</v>
      </c>
      <c r="C6" s="2">
        <v>66.491</v>
      </c>
      <c r="D6" s="2">
        <v>50.058999999999997</v>
      </c>
      <c r="E6" s="2">
        <v>49.636000000000003</v>
      </c>
      <c r="F6" s="2">
        <v>49.13</v>
      </c>
      <c r="G6" s="2">
        <v>98.766999999999996</v>
      </c>
      <c r="H6" s="2">
        <v>71.97</v>
      </c>
      <c r="I6" s="2">
        <v>19.161999999999999</v>
      </c>
      <c r="J6" s="2">
        <v>5.8579999999999997</v>
      </c>
      <c r="K6" s="2">
        <v>13.427</v>
      </c>
      <c r="L6" s="2">
        <v>30.178999999999998</v>
      </c>
      <c r="M6" s="2">
        <v>24.244</v>
      </c>
      <c r="N6" s="2">
        <v>4.1479999999999997</v>
      </c>
      <c r="O6" s="2">
        <v>377.63099999999997</v>
      </c>
    </row>
    <row r="7" spans="1:15" x14ac:dyDescent="0.45">
      <c r="A7" t="s">
        <v>19</v>
      </c>
      <c r="B7" s="2">
        <v>109175.621</v>
      </c>
      <c r="C7" s="2">
        <v>2466.404</v>
      </c>
      <c r="D7" s="2">
        <v>17972.403999999999</v>
      </c>
      <c r="E7" s="2">
        <v>27875.858</v>
      </c>
      <c r="F7" s="2">
        <v>2628.346</v>
      </c>
      <c r="G7" s="2">
        <v>30504.204000000002</v>
      </c>
      <c r="H7" s="2">
        <v>959.673</v>
      </c>
      <c r="I7" s="2">
        <v>631.42700000000002</v>
      </c>
      <c r="J7" s="2">
        <v>120.203</v>
      </c>
      <c r="K7" s="2">
        <v>514.81799999999998</v>
      </c>
      <c r="L7" s="2">
        <v>204.798</v>
      </c>
      <c r="M7" s="2">
        <v>5474.0720000000001</v>
      </c>
      <c r="N7" s="2">
        <v>692.25599999999997</v>
      </c>
      <c r="O7" s="2">
        <v>50270.383999999998</v>
      </c>
    </row>
    <row r="8" spans="1:15" x14ac:dyDescent="0.45">
      <c r="A8" t="s">
        <v>12</v>
      </c>
      <c r="B8" s="2">
        <v>1033.0519999999999</v>
      </c>
      <c r="C8" s="2">
        <v>35.691000000000003</v>
      </c>
      <c r="D8" s="2">
        <v>184.06399999999999</v>
      </c>
      <c r="E8" s="2">
        <v>201.977</v>
      </c>
      <c r="F8" s="2">
        <v>62.79</v>
      </c>
      <c r="G8" s="2">
        <v>264.76600000000002</v>
      </c>
      <c r="H8" s="2">
        <v>52.957000000000001</v>
      </c>
      <c r="I8" s="2">
        <v>16.497</v>
      </c>
      <c r="J8" s="2">
        <v>7.117</v>
      </c>
      <c r="K8" s="2">
        <v>9.5459999999999994</v>
      </c>
      <c r="L8" s="2">
        <v>13.369</v>
      </c>
      <c r="M8" s="2">
        <v>42.109000000000002</v>
      </c>
      <c r="N8" s="2">
        <v>11.122999999999999</v>
      </c>
      <c r="O8" s="2">
        <v>412.476</v>
      </c>
    </row>
    <row r="9" spans="1:15" x14ac:dyDescent="0.45">
      <c r="A9" t="s">
        <v>16</v>
      </c>
      <c r="B9" s="2">
        <v>112139.981</v>
      </c>
      <c r="C9" s="2">
        <v>2602.9989999999998</v>
      </c>
      <c r="D9" s="2">
        <v>18677.877</v>
      </c>
      <c r="E9" s="2">
        <v>28045.174999999999</v>
      </c>
      <c r="F9" s="2">
        <v>2933.991</v>
      </c>
      <c r="G9" s="2">
        <v>30979.165000000001</v>
      </c>
      <c r="H9" s="2">
        <v>1876.721</v>
      </c>
      <c r="I9" s="2">
        <v>733.34699999999998</v>
      </c>
      <c r="J9" s="2">
        <v>170.96700000000001</v>
      </c>
      <c r="K9" s="2">
        <v>566.89599999999996</v>
      </c>
      <c r="L9" s="2">
        <v>299.97500000000002</v>
      </c>
      <c r="M9" s="2">
        <v>5520.8630000000003</v>
      </c>
      <c r="N9" s="2">
        <v>702.07600000000002</v>
      </c>
      <c r="O9" s="2">
        <v>50746.959000000003</v>
      </c>
    </row>
    <row r="11" spans="1:15" x14ac:dyDescent="0.45">
      <c r="A11" t="s">
        <v>0</v>
      </c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5" x14ac:dyDescent="0.45">
      <c r="A12" t="s">
        <v>13</v>
      </c>
      <c r="B12" s="2">
        <v>48.585000000000001</v>
      </c>
      <c r="C12" s="2">
        <v>3.7839999999999998</v>
      </c>
      <c r="D12" s="2">
        <v>5</v>
      </c>
      <c r="E12" s="2">
        <v>5.7350000000000003</v>
      </c>
      <c r="F12" s="2">
        <v>6.524</v>
      </c>
      <c r="G12" s="3">
        <v>12.26</v>
      </c>
      <c r="H12" s="3">
        <v>13.082000000000001</v>
      </c>
      <c r="I12" s="2">
        <v>5.5190000000000001</v>
      </c>
      <c r="J12" s="2">
        <v>3.504</v>
      </c>
      <c r="K12" s="2">
        <v>2.0920000000000001</v>
      </c>
      <c r="L12" s="2">
        <v>0.73299999999999998</v>
      </c>
      <c r="M12" s="2">
        <v>0.79200000000000004</v>
      </c>
      <c r="N12" s="2">
        <v>0.51500000000000001</v>
      </c>
      <c r="O12" s="2">
        <v>6.9009999999999998</v>
      </c>
    </row>
    <row r="13" spans="1:15" x14ac:dyDescent="0.45">
      <c r="A13" t="s">
        <v>14</v>
      </c>
      <c r="B13" s="3">
        <v>25.899000000000001</v>
      </c>
      <c r="C13" s="3">
        <v>3.036</v>
      </c>
      <c r="D13" s="3">
        <v>0.82399999999999995</v>
      </c>
      <c r="E13" s="3">
        <v>2.242</v>
      </c>
      <c r="F13" s="3">
        <v>2.306</v>
      </c>
      <c r="G13" s="3">
        <v>4.548</v>
      </c>
      <c r="H13" s="3">
        <v>3.0390000000000001</v>
      </c>
      <c r="I13" s="3">
        <v>1.141</v>
      </c>
      <c r="J13" s="3">
        <v>0.76300000000000001</v>
      </c>
      <c r="K13" s="3">
        <v>0.39600000000000002</v>
      </c>
      <c r="L13" s="3">
        <v>0.16700000000000001</v>
      </c>
      <c r="M13" s="3">
        <v>1.089</v>
      </c>
      <c r="N13" s="3">
        <v>0.6</v>
      </c>
      <c r="O13" s="3">
        <v>11.456</v>
      </c>
    </row>
    <row r="14" spans="1:15" x14ac:dyDescent="0.45">
      <c r="A14" t="s">
        <v>15</v>
      </c>
      <c r="B14" s="3">
        <v>304.267</v>
      </c>
      <c r="C14" s="3">
        <v>12.670999999999999</v>
      </c>
      <c r="D14" s="3">
        <v>28.280999999999999</v>
      </c>
      <c r="E14" s="3">
        <v>69.843999999999994</v>
      </c>
      <c r="F14" s="3">
        <v>23.635000000000002</v>
      </c>
      <c r="G14" s="3">
        <v>93.477999999999994</v>
      </c>
      <c r="H14" s="3">
        <v>7.5620000000000003</v>
      </c>
      <c r="I14" s="3">
        <v>4.3959999999999999</v>
      </c>
      <c r="J14" s="3">
        <v>2.609</v>
      </c>
      <c r="K14" s="3">
        <v>1.857</v>
      </c>
      <c r="L14" s="3">
        <v>1.2270000000000001</v>
      </c>
      <c r="M14" s="3">
        <v>16.542000000000002</v>
      </c>
      <c r="N14" s="3">
        <v>9.1780000000000008</v>
      </c>
      <c r="O14" s="3">
        <v>130.93199999999999</v>
      </c>
    </row>
    <row r="15" spans="1:15" x14ac:dyDescent="0.45">
      <c r="A15" t="s">
        <v>17</v>
      </c>
      <c r="B15" s="3">
        <v>585.74300000000005</v>
      </c>
      <c r="C15" s="3">
        <v>23.792000000000002</v>
      </c>
      <c r="D15" s="3">
        <v>71.906000000000006</v>
      </c>
      <c r="E15" s="3">
        <v>56.847999999999999</v>
      </c>
      <c r="F15" s="3">
        <v>65.326999999999998</v>
      </c>
      <c r="G15" s="3">
        <v>122.175</v>
      </c>
      <c r="H15" s="3">
        <v>241.47499999999999</v>
      </c>
      <c r="I15" s="3">
        <v>61.188000000000002</v>
      </c>
      <c r="J15" s="3">
        <v>43.116999999999997</v>
      </c>
      <c r="K15" s="3">
        <v>18.870999999999999</v>
      </c>
      <c r="L15" s="3">
        <v>9.2799999999999994</v>
      </c>
      <c r="M15" s="3">
        <v>11.268000000000001</v>
      </c>
      <c r="N15" s="3">
        <v>5.33</v>
      </c>
      <c r="O15" s="3">
        <v>39.328000000000003</v>
      </c>
    </row>
    <row r="16" spans="1:15" x14ac:dyDescent="0.45">
      <c r="A16" t="s">
        <v>18</v>
      </c>
      <c r="B16" s="3">
        <v>215.53399999999999</v>
      </c>
      <c r="C16" s="3">
        <v>23.318999999999999</v>
      </c>
      <c r="D16" s="3">
        <v>7.0720000000000001</v>
      </c>
      <c r="E16" s="3">
        <v>17.805</v>
      </c>
      <c r="F16" s="3">
        <v>19.731000000000002</v>
      </c>
      <c r="G16" s="3">
        <v>37.536999999999999</v>
      </c>
      <c r="H16" s="3">
        <v>27.571999999999999</v>
      </c>
      <c r="I16" s="3">
        <v>7.92</v>
      </c>
      <c r="J16" s="3">
        <v>5.4749999999999996</v>
      </c>
      <c r="K16" s="3">
        <v>2.5680000000000001</v>
      </c>
      <c r="L16" s="3">
        <v>1.2150000000000001</v>
      </c>
      <c r="M16" s="3">
        <v>8.8620000000000001</v>
      </c>
      <c r="N16" s="3">
        <v>3.996</v>
      </c>
      <c r="O16" s="3">
        <v>98.040999999999997</v>
      </c>
    </row>
    <row r="17" spans="1:15" x14ac:dyDescent="0.45">
      <c r="A17" t="s">
        <v>19</v>
      </c>
      <c r="B17" s="3">
        <v>22394.424999999999</v>
      </c>
      <c r="C17" s="3">
        <v>1219.3889999999999</v>
      </c>
      <c r="D17" s="3">
        <v>2132.2890000000002</v>
      </c>
      <c r="E17" s="3">
        <v>6633.2889999999998</v>
      </c>
      <c r="F17" s="3">
        <v>1447.394</v>
      </c>
      <c r="G17" s="3">
        <v>8080.683</v>
      </c>
      <c r="H17" s="3">
        <v>437.70100000000002</v>
      </c>
      <c r="I17" s="3">
        <v>213.685</v>
      </c>
      <c r="J17" s="3">
        <v>117.578</v>
      </c>
      <c r="K17" s="3">
        <v>99.701999999999998</v>
      </c>
      <c r="L17" s="3">
        <v>48.225999999999999</v>
      </c>
      <c r="M17" s="3">
        <v>1194.002</v>
      </c>
      <c r="N17" s="3">
        <v>587.01300000000003</v>
      </c>
      <c r="O17" s="3">
        <v>8481.4369999999999</v>
      </c>
    </row>
    <row r="18" spans="1:15" x14ac:dyDescent="0.45">
      <c r="A18" t="s">
        <v>12</v>
      </c>
      <c r="B18" s="3">
        <v>378.75099999999998</v>
      </c>
      <c r="C18" s="3">
        <v>19.489999999999998</v>
      </c>
      <c r="D18" s="3">
        <v>34.106000000000002</v>
      </c>
      <c r="E18" s="3">
        <v>77.820999999999998</v>
      </c>
      <c r="F18" s="3">
        <v>32.465000000000003</v>
      </c>
      <c r="G18" s="3">
        <v>110.286</v>
      </c>
      <c r="H18" s="3">
        <v>23.681999999999999</v>
      </c>
      <c r="I18" s="3">
        <v>11.055999999999999</v>
      </c>
      <c r="J18" s="2">
        <v>6.8760000000000003</v>
      </c>
      <c r="K18" s="2">
        <v>4.3449999999999998</v>
      </c>
      <c r="L18" s="2">
        <v>2.1269999999999998</v>
      </c>
      <c r="M18" s="3">
        <v>18.422999999999998</v>
      </c>
      <c r="N18" s="3">
        <v>10.292999999999999</v>
      </c>
      <c r="O18" s="3">
        <v>149.28899999999999</v>
      </c>
    </row>
    <row r="19" spans="1:15" x14ac:dyDescent="0.45">
      <c r="A19" t="s">
        <v>16</v>
      </c>
      <c r="B19" s="3">
        <v>23195.702000000001</v>
      </c>
      <c r="C19" s="3">
        <v>1266.5</v>
      </c>
      <c r="D19" s="3">
        <v>2211.2660000000001</v>
      </c>
      <c r="E19" s="3">
        <v>6707.942</v>
      </c>
      <c r="F19" s="3">
        <v>1532.453</v>
      </c>
      <c r="G19" s="3">
        <v>8240.3950000000004</v>
      </c>
      <c r="H19" s="3">
        <v>706.74800000000005</v>
      </c>
      <c r="I19" s="3">
        <v>282.79300000000001</v>
      </c>
      <c r="J19" s="3">
        <v>166.17</v>
      </c>
      <c r="K19" s="3">
        <v>121.14</v>
      </c>
      <c r="L19" s="3">
        <v>58.720999999999997</v>
      </c>
      <c r="M19" s="3">
        <v>1214.1320000000001</v>
      </c>
      <c r="N19" s="3">
        <v>596.33900000000006</v>
      </c>
      <c r="O19" s="3">
        <v>8618.8070000000007</v>
      </c>
    </row>
    <row r="22" spans="1:15" x14ac:dyDescent="0.45">
      <c r="A22" t="s">
        <v>48</v>
      </c>
      <c r="B22" s="24">
        <f>B12/(B12+B13+B14)</f>
        <v>0.12827688903791673</v>
      </c>
      <c r="C22" s="24">
        <f t="shared" ref="C22:G22" si="0">C12/(C12+C13+C14)</f>
        <v>0.19414088553691447</v>
      </c>
      <c r="D22" s="24">
        <f t="shared" si="0"/>
        <v>0.14660606949127694</v>
      </c>
      <c r="E22" s="24">
        <f t="shared" si="0"/>
        <v>7.3694761054214158E-2</v>
      </c>
      <c r="F22" s="24">
        <f t="shared" si="0"/>
        <v>0.20095487448020943</v>
      </c>
      <c r="G22" s="24">
        <f t="shared" si="0"/>
        <v>0.11116551511524581</v>
      </c>
      <c r="H22" s="24">
        <f t="shared" ref="H22:O22" si="1">H12/(H12+H13+H14)</f>
        <v>0.55237934383312925</v>
      </c>
      <c r="I22" s="24">
        <f t="shared" si="1"/>
        <v>0.49918596237337187</v>
      </c>
      <c r="J22" s="24">
        <f t="shared" si="1"/>
        <v>0.50959860383944156</v>
      </c>
      <c r="K22" s="24">
        <f t="shared" si="1"/>
        <v>0.48147295742232454</v>
      </c>
      <c r="L22" s="24">
        <f t="shared" si="1"/>
        <v>0.34461683121767744</v>
      </c>
      <c r="M22" s="24">
        <f t="shared" si="1"/>
        <v>4.2989741084513922E-2</v>
      </c>
      <c r="N22" s="24">
        <f t="shared" si="1"/>
        <v>5.0034003691829393E-2</v>
      </c>
      <c r="O22" s="24">
        <f t="shared" si="1"/>
        <v>4.6225776848930603E-2</v>
      </c>
    </row>
    <row r="23" spans="1:15" x14ac:dyDescent="0.45">
      <c r="A23" t="s">
        <v>46</v>
      </c>
      <c r="B23" s="25">
        <f>Low_BASE!B22-Low_WOOD!B22</f>
        <v>-2.948108995464914E-2</v>
      </c>
      <c r="C23" s="25">
        <f>Low_BASE!C22-Low_WOOD!C22</f>
        <v>-9.7712314108343037E-2</v>
      </c>
      <c r="D23" s="25">
        <f>Low_BASE!D22-Low_WOOD!D22</f>
        <v>-2.8159114707667493E-2</v>
      </c>
      <c r="E23" s="25">
        <f>Low_BASE!E22-Low_WOOD!E22</f>
        <v>-1.9186515944213764E-2</v>
      </c>
      <c r="F23" s="25">
        <f>Low_BASE!F22-Low_WOOD!F22</f>
        <v>-5.2833487196972451E-2</v>
      </c>
      <c r="G23" s="25">
        <f>Low_BASE!G22-Low_WOOD!G22</f>
        <v>-2.9929634841147343E-2</v>
      </c>
      <c r="H23" s="25">
        <f>Low_BASE!H22-Low_WOOD!H22</f>
        <v>-5.0218705035571687E-2</v>
      </c>
      <c r="I23" s="25">
        <f>Low_BASE!I22-Low_WOOD!I22</f>
        <v>-1.9584533533364312E-2</v>
      </c>
      <c r="J23" s="25">
        <f>Low_BASE!J22-Low_WOOD!J22</f>
        <v>-1.811918896988951E-2</v>
      </c>
      <c r="K23" s="25">
        <f>Low_BASE!K22-Low_WOOD!K22</f>
        <v>-2.2019982374339886E-2</v>
      </c>
      <c r="L23" s="25">
        <f>Low_BASE!L22-Low_WOOD!L22</f>
        <v>-3.864668196394605E-2</v>
      </c>
      <c r="M23" s="25">
        <f>Low_BASE!M22-Low_WOOD!M22</f>
        <v>-1.3058516875435515E-2</v>
      </c>
      <c r="N23" s="25">
        <f>Low_BASE!N22-Low_WOOD!N22</f>
        <v>-1.7102832805753442E-2</v>
      </c>
      <c r="O23" s="25">
        <f>Low_BASE!O22-Low_WOOD!O22</f>
        <v>-1.4570219781864895E-2</v>
      </c>
    </row>
    <row r="24" spans="1:15" x14ac:dyDescent="0.45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1:15" x14ac:dyDescent="0.45">
      <c r="A25" t="s">
        <v>47</v>
      </c>
      <c r="B25" s="24">
        <f>(1-(B12/Low_BASE!B12))</f>
        <v>-0.34253502445494499</v>
      </c>
      <c r="C25" s="24">
        <f>(1-(C12/Low_BASE!C12))</f>
        <v>-1.2604540023894861</v>
      </c>
      <c r="D25" s="24">
        <f>(1-(D12/Low_BASE!D12))</f>
        <v>-0.27844541038097681</v>
      </c>
      <c r="E25" s="24">
        <f>(1-(E12/Low_BASE!E12))</f>
        <v>-0.38026474127557153</v>
      </c>
      <c r="F25" s="24">
        <f>(1-(F12/Low_BASE!F12))</f>
        <v>-0.44656319290465629</v>
      </c>
      <c r="G25" s="24">
        <f>(1-(G12/Low_BASE!G12))</f>
        <v>-0.41472420955458111</v>
      </c>
      <c r="H25" s="24">
        <f>(1-(H12/Low_BASE!H12))</f>
        <v>-0.22364605743148447</v>
      </c>
      <c r="I25" s="24">
        <f>(1-(I12/Low_BASE!I12))</f>
        <v>-8.1732653861230853E-2</v>
      </c>
      <c r="J25" s="24">
        <f>(1-(J12/Low_BASE!J12))</f>
        <v>-7.5176434489107047E-2</v>
      </c>
      <c r="K25" s="24">
        <f>(1-(K12/Low_BASE!K12))</f>
        <v>-9.2428198433420317E-2</v>
      </c>
      <c r="L25" s="24">
        <f>(1-(L12/Low_BASE!L12))</f>
        <v>-0.19186991869918701</v>
      </c>
      <c r="M25" s="24">
        <f>(1-(M12/Low_BASE!M12))</f>
        <v>-0.45588235294117641</v>
      </c>
      <c r="N25" s="24">
        <f>(1-(N12/Low_BASE!N12))</f>
        <v>-0.54654654654654644</v>
      </c>
      <c r="O25" s="24">
        <f>(1-(O12/Low_BASE!O12))</f>
        <v>-0.48281048560378159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8630-BE5E-427A-BE02-7EE816DFF294}">
  <sheetPr filterMode="1"/>
  <dimension ref="A1:Q116"/>
  <sheetViews>
    <sheetView tabSelected="1" workbookViewId="0">
      <selection activeCell="D118" sqref="D118"/>
    </sheetView>
  </sheetViews>
  <sheetFormatPr defaultColWidth="9.1328125" defaultRowHeight="14.25" x14ac:dyDescent="0.45"/>
  <cols>
    <col min="1" max="1" width="12.86328125" bestFit="1" customWidth="1"/>
    <col min="2" max="2" width="14.1328125" customWidth="1"/>
    <col min="3" max="3" width="22.3984375" customWidth="1"/>
    <col min="4" max="4" width="18" style="13" bestFit="1" customWidth="1"/>
    <col min="5" max="6" width="16.86328125" bestFit="1" customWidth="1"/>
    <col min="7" max="8" width="13.86328125" bestFit="1" customWidth="1"/>
    <col min="9" max="9" width="16.3984375" bestFit="1" customWidth="1"/>
    <col min="10" max="10" width="17" bestFit="1" customWidth="1"/>
    <col min="11" max="11" width="17.265625" bestFit="1" customWidth="1"/>
    <col min="12" max="12" width="18.59765625" bestFit="1" customWidth="1"/>
    <col min="13" max="13" width="19.1328125" bestFit="1" customWidth="1"/>
    <col min="14" max="14" width="17" bestFit="1" customWidth="1"/>
    <col min="15" max="15" width="17.265625" bestFit="1" customWidth="1"/>
    <col min="16" max="16" width="14.1328125" bestFit="1" customWidth="1"/>
    <col min="17" max="17" width="17.3984375" bestFit="1" customWidth="1"/>
  </cols>
  <sheetData>
    <row r="1" spans="1:17" x14ac:dyDescent="0.45">
      <c r="A1" s="7" t="s">
        <v>37</v>
      </c>
      <c r="B1" s="7" t="s">
        <v>38</v>
      </c>
      <c r="C1" s="8" t="s">
        <v>0</v>
      </c>
      <c r="D1" s="7" t="s">
        <v>20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21</v>
      </c>
      <c r="M1" s="7" t="s">
        <v>22</v>
      </c>
      <c r="N1" s="7" t="s">
        <v>8</v>
      </c>
      <c r="O1" s="7" t="s">
        <v>9</v>
      </c>
      <c r="P1" s="7" t="s">
        <v>10</v>
      </c>
      <c r="Q1" s="7" t="s">
        <v>11</v>
      </c>
    </row>
    <row r="2" spans="1:17" hidden="1" x14ac:dyDescent="0.45">
      <c r="A2" s="9" t="s">
        <v>39</v>
      </c>
      <c r="B2" s="9" t="s">
        <v>40</v>
      </c>
      <c r="C2" s="9" t="s">
        <v>13</v>
      </c>
      <c r="D2" s="15">
        <v>3.6253710009941403E-2</v>
      </c>
      <c r="E2" s="15">
        <v>1.5968914682062639E-3</v>
      </c>
      <c r="F2" s="15">
        <v>3.024099693369523E-3</v>
      </c>
      <c r="G2" s="15">
        <v>4.5489071921214399E-3</v>
      </c>
      <c r="H2" s="15">
        <v>4.8854303096316394E-3</v>
      </c>
      <c r="I2" s="15">
        <v>9.434337501753081E-3</v>
      </c>
      <c r="J2" s="15">
        <v>1.1179376347665349E-2</v>
      </c>
      <c r="K2" s="15">
        <v>5.1294588185702714E-3</v>
      </c>
      <c r="L2" s="15">
        <v>5.1294588185702714E-3</v>
      </c>
      <c r="M2" s="15">
        <v>5.1294588185702714E-3</v>
      </c>
      <c r="N2" s="15">
        <v>5.235988184864878E-4</v>
      </c>
      <c r="O2" s="15">
        <v>4.6931016646007811E-4</v>
      </c>
      <c r="P2" s="15">
        <v>3.2628323561326161E-4</v>
      </c>
      <c r="Q2" s="15">
        <v>4.5703539598170792E-3</v>
      </c>
    </row>
    <row r="3" spans="1:17" s="9" customFormat="1" hidden="1" x14ac:dyDescent="0.45">
      <c r="A3" s="9" t="s">
        <v>41</v>
      </c>
      <c r="B3" s="9" t="s">
        <v>40</v>
      </c>
      <c r="C3" s="9" t="s">
        <v>13</v>
      </c>
      <c r="D3" s="15">
        <v>7.568871042373837E-2</v>
      </c>
      <c r="E3" s="15">
        <v>4.2505395151397427E-3</v>
      </c>
      <c r="F3" s="15">
        <v>7.0888840937672381E-3</v>
      </c>
      <c r="G3" s="15">
        <v>1.033029482092594E-2</v>
      </c>
      <c r="H3" s="15">
        <v>1.111884685649853E-2</v>
      </c>
      <c r="I3" s="15">
        <v>2.1449141677424469E-2</v>
      </c>
      <c r="J3" s="15">
        <v>2.3351954801990989E-2</v>
      </c>
      <c r="K3" s="15">
        <v>7.9184604712925419E-3</v>
      </c>
      <c r="L3" s="15">
        <v>7.9184604712925419E-3</v>
      </c>
      <c r="M3" s="15">
        <v>7.9184604712925419E-3</v>
      </c>
      <c r="N3" s="15">
        <v>8.3099477802881601E-4</v>
      </c>
      <c r="O3" s="15">
        <v>1.230135904755179E-3</v>
      </c>
      <c r="P3" s="15">
        <v>7.2680325374188703E-4</v>
      </c>
      <c r="Q3" s="15">
        <v>8.8417959275975053E-3</v>
      </c>
    </row>
    <row r="4" spans="1:17" hidden="1" x14ac:dyDescent="0.45">
      <c r="A4" s="9" t="s">
        <v>39</v>
      </c>
      <c r="B4" s="9" t="s">
        <v>42</v>
      </c>
      <c r="C4" s="9" t="s">
        <v>13</v>
      </c>
      <c r="D4" s="15">
        <v>2.8831398767875389E-2</v>
      </c>
      <c r="E4" s="15">
        <v>1.1937339265956121E-3</v>
      </c>
      <c r="F4" s="15">
        <v>2.4025236921416328E-3</v>
      </c>
      <c r="G4" s="15">
        <v>3.8585243960812051E-3</v>
      </c>
      <c r="H4" s="15">
        <v>3.785535378575869E-3</v>
      </c>
      <c r="I4" s="15">
        <v>7.6440597746570754E-3</v>
      </c>
      <c r="J4" s="15">
        <v>8.2715453235744519E-3</v>
      </c>
      <c r="K4" s="15">
        <v>3.7500823073096691E-3</v>
      </c>
      <c r="L4" s="15">
        <v>3.7500823073096691E-3</v>
      </c>
      <c r="M4" s="15">
        <v>3.7500823073096691E-3</v>
      </c>
      <c r="N4" s="15">
        <v>4.5222168399083711E-4</v>
      </c>
      <c r="O4" s="15">
        <v>3.3564386172954492E-4</v>
      </c>
      <c r="P4" s="15">
        <v>2.6188437553172051E-4</v>
      </c>
      <c r="Q4" s="15">
        <v>4.5197038223448432E-3</v>
      </c>
    </row>
    <row r="5" spans="1:17" hidden="1" x14ac:dyDescent="0.45">
      <c r="A5" s="9" t="s">
        <v>41</v>
      </c>
      <c r="B5" s="9" t="s">
        <v>42</v>
      </c>
      <c r="C5" s="9" t="s">
        <v>13</v>
      </c>
      <c r="D5" s="15">
        <v>4.8688867017884732E-2</v>
      </c>
      <c r="E5" s="15">
        <v>2.5122756666078961E-3</v>
      </c>
      <c r="F5" s="15">
        <v>4.0400736078079289E-3</v>
      </c>
      <c r="G5" s="15">
        <v>7.7738391031925676E-3</v>
      </c>
      <c r="H5" s="15">
        <v>7.0720536564343774E-3</v>
      </c>
      <c r="I5" s="15">
        <v>1.4845892759626949E-2</v>
      </c>
      <c r="J5" s="15">
        <v>1.24722317456878E-2</v>
      </c>
      <c r="K5" s="15">
        <v>4.6609671389995196E-3</v>
      </c>
      <c r="L5" s="15">
        <v>4.6609671389995196E-3</v>
      </c>
      <c r="M5" s="15">
        <v>4.6609671389995196E-3</v>
      </c>
      <c r="N5" s="15">
        <v>5.7474991849021807E-4</v>
      </c>
      <c r="O5" s="15">
        <v>6.3479600392568635E-4</v>
      </c>
      <c r="P5" s="15">
        <v>4.7367231487200798E-4</v>
      </c>
      <c r="Q5" s="15">
        <v>8.4742078618667092E-3</v>
      </c>
    </row>
    <row r="6" spans="1:17" s="6" customFormat="1" x14ac:dyDescent="0.45">
      <c r="A6" s="18" t="s">
        <v>39</v>
      </c>
      <c r="B6" s="18" t="s">
        <v>43</v>
      </c>
      <c r="C6" s="18" t="s">
        <v>13</v>
      </c>
      <c r="D6" s="22">
        <f>Low_BASE!B12*0.001</f>
        <v>3.6188999999999999E-2</v>
      </c>
      <c r="E6" s="22">
        <f>Low_BASE!C12*0.001</f>
        <v>1.6739999999999999E-3</v>
      </c>
      <c r="F6" s="22">
        <f>Low_BASE!D12*0.001</f>
        <v>3.9110000000000004E-3</v>
      </c>
      <c r="G6" s="22">
        <f>Low_BASE!E12*0.001</f>
        <v>4.1550000000000007E-3</v>
      </c>
      <c r="H6" s="22">
        <f>Low_BASE!F12*0.001</f>
        <v>4.5100000000000001E-3</v>
      </c>
      <c r="I6" s="22">
        <f>Low_BASE!G12*0.001</f>
        <v>8.6660000000000001E-3</v>
      </c>
      <c r="J6" s="22">
        <f>Low_BASE!H12*0.001</f>
        <v>1.0691000000000001E-2</v>
      </c>
      <c r="K6" s="22">
        <f>Low_BASE!I12*0.001</f>
        <v>5.1020000000000006E-3</v>
      </c>
      <c r="L6" s="22">
        <f>Low_BASE!J12*0.001</f>
        <v>3.2590000000000002E-3</v>
      </c>
      <c r="M6" s="22">
        <f>Low_BASE!K12*0.001</f>
        <v>1.915E-3</v>
      </c>
      <c r="N6" s="22">
        <f>Low_BASE!L12*0.001</f>
        <v>6.1499999999999999E-4</v>
      </c>
      <c r="O6" s="22">
        <f>Low_BASE!M12*0.001</f>
        <v>5.440000000000001E-4</v>
      </c>
      <c r="P6" s="22">
        <f>Low_BASE!N12*0.001</f>
        <v>3.3300000000000002E-4</v>
      </c>
      <c r="Q6" s="22">
        <f>Low_BASE!O12*0.001</f>
        <v>4.6540000000000002E-3</v>
      </c>
    </row>
    <row r="7" spans="1:17" s="6" customFormat="1" x14ac:dyDescent="0.45">
      <c r="A7" s="18" t="s">
        <v>44</v>
      </c>
      <c r="B7" s="18" t="s">
        <v>43</v>
      </c>
      <c r="C7" s="18" t="s">
        <v>13</v>
      </c>
      <c r="D7" s="22">
        <f>Low_RESI!B12*0.001</f>
        <v>3.7353999999999998E-2</v>
      </c>
      <c r="E7" s="22">
        <f>Low_RESI!C12*0.001</f>
        <v>1.6970000000000002E-3</v>
      </c>
      <c r="F7" s="22">
        <f>Low_RESI!D12*0.001</f>
        <v>4.0720000000000001E-3</v>
      </c>
      <c r="G7" s="22">
        <f>Low_RESI!E12*0.001</f>
        <v>4.2850000000000006E-3</v>
      </c>
      <c r="H7" s="22">
        <f>Low_RESI!F12*0.001</f>
        <v>4.6719999999999999E-3</v>
      </c>
      <c r="I7" s="22">
        <f>Low_RESI!G12*0.001</f>
        <v>8.9570000000000014E-3</v>
      </c>
      <c r="J7" s="22">
        <f>Low_RESI!H12*0.001</f>
        <v>1.1183999999999999E-2</v>
      </c>
      <c r="K7" s="22">
        <f>Low_RESI!I12*0.001</f>
        <v>5.215E-3</v>
      </c>
      <c r="L7" s="22">
        <f>Low_RESI!J12*0.001</f>
        <v>3.3410000000000002E-3</v>
      </c>
      <c r="M7" s="22">
        <f>Low_RESI!K12*0.001</f>
        <v>1.9480000000000001E-3</v>
      </c>
      <c r="N7" s="22">
        <f>Low_RESI!L12*0.001</f>
        <v>6.2700000000000006E-4</v>
      </c>
      <c r="O7" s="22">
        <f>Low_RESI!M12*0.001</f>
        <v>5.6499999999999996E-4</v>
      </c>
      <c r="P7" s="22">
        <f>Low_RESI!N12*0.001</f>
        <v>3.4000000000000002E-4</v>
      </c>
      <c r="Q7" s="22">
        <f>Low_RESI!O12*0.001</f>
        <v>4.6969999999999998E-3</v>
      </c>
    </row>
    <row r="8" spans="1:17" s="6" customFormat="1" x14ac:dyDescent="0.45">
      <c r="A8" s="18" t="s">
        <v>41</v>
      </c>
      <c r="B8" s="18" t="s">
        <v>43</v>
      </c>
      <c r="C8" s="18" t="s">
        <v>13</v>
      </c>
      <c r="D8" s="22">
        <f>Low_WOOD!B12*0.001</f>
        <v>4.8585000000000003E-2</v>
      </c>
      <c r="E8" s="22">
        <f>Low_WOOD!C12*0.001</f>
        <v>3.784E-3</v>
      </c>
      <c r="F8" s="22">
        <f>Low_WOOD!D12*0.001</f>
        <v>5.0000000000000001E-3</v>
      </c>
      <c r="G8" s="22">
        <f>Low_WOOD!E12*0.001</f>
        <v>5.7350000000000005E-3</v>
      </c>
      <c r="H8" s="22">
        <f>Low_WOOD!F12*0.001</f>
        <v>6.5240000000000003E-3</v>
      </c>
      <c r="I8" s="22">
        <f>Low_WOOD!G12*0.001</f>
        <v>1.226E-2</v>
      </c>
      <c r="J8" s="22">
        <f>Low_WOOD!H12*0.001</f>
        <v>1.3082000000000002E-2</v>
      </c>
      <c r="K8" s="22">
        <f>Low_WOOD!I12*0.001</f>
        <v>5.5190000000000005E-3</v>
      </c>
      <c r="L8" s="22">
        <f>Low_WOOD!J12*0.001</f>
        <v>3.5040000000000002E-3</v>
      </c>
      <c r="M8" s="22">
        <f>Low_WOOD!K12*0.001</f>
        <v>2.0920000000000001E-3</v>
      </c>
      <c r="N8" s="22">
        <f>Low_WOOD!L12*0.001</f>
        <v>7.3300000000000004E-4</v>
      </c>
      <c r="O8" s="22">
        <f>Low_WOOD!M12*0.001</f>
        <v>7.9200000000000006E-4</v>
      </c>
      <c r="P8" s="22">
        <f>Low_WOOD!N12*0.001</f>
        <v>5.1500000000000005E-4</v>
      </c>
      <c r="Q8" s="22">
        <f>Low_WOOD!O12*0.001</f>
        <v>6.901E-3</v>
      </c>
    </row>
    <row r="9" spans="1:17" s="9" customFormat="1" hidden="1" x14ac:dyDescent="0.45">
      <c r="A9" s="9" t="s">
        <v>39</v>
      </c>
      <c r="B9" s="9" t="s">
        <v>45</v>
      </c>
      <c r="C9" s="9" t="s">
        <v>13</v>
      </c>
      <c r="D9" s="21">
        <v>4.2146528665914999E-5</v>
      </c>
      <c r="E9" s="21">
        <v>3.3101731299783001E-7</v>
      </c>
      <c r="F9" s="21">
        <v>7.9332409264822897E-6</v>
      </c>
      <c r="G9" s="21">
        <v>7.6788678311159005E-6</v>
      </c>
      <c r="H9" s="21">
        <v>8.2304285162632897E-6</v>
      </c>
      <c r="I9" s="21">
        <v>1.5909296347379199E-5</v>
      </c>
      <c r="J9" s="21">
        <v>8.6004481454779099E-6</v>
      </c>
      <c r="K9" s="21">
        <v>2.7031064594676099E-6</v>
      </c>
      <c r="L9" s="21">
        <v>2.7031064594676099E-6</v>
      </c>
      <c r="M9" s="21">
        <v>2.7031064594676099E-6</v>
      </c>
      <c r="N9" s="21">
        <v>1.01676665969188E-6</v>
      </c>
      <c r="O9" s="21">
        <v>2.7349797829254001E-7</v>
      </c>
      <c r="P9" s="21">
        <v>1.3719005224503099E-7</v>
      </c>
      <c r="Q9" s="21">
        <v>5.2419647838806998E-6</v>
      </c>
    </row>
    <row r="10" spans="1:17" hidden="1" x14ac:dyDescent="0.45">
      <c r="A10" s="9" t="s">
        <v>41</v>
      </c>
      <c r="B10" s="9" t="s">
        <v>45</v>
      </c>
      <c r="C10" s="9" t="s">
        <v>13</v>
      </c>
      <c r="D10" s="21">
        <v>4.2146528665914999E-5</v>
      </c>
      <c r="E10" s="21">
        <v>3.3101731299783001E-7</v>
      </c>
      <c r="F10" s="21">
        <v>7.9332409264822897E-6</v>
      </c>
      <c r="G10" s="21">
        <v>7.6788678311159005E-6</v>
      </c>
      <c r="H10" s="21">
        <v>8.2304285162632897E-6</v>
      </c>
      <c r="I10" s="21">
        <v>1.5909296347379199E-5</v>
      </c>
      <c r="J10" s="21">
        <v>8.6004481454779099E-6</v>
      </c>
      <c r="K10" s="21">
        <v>2.7031064594676099E-6</v>
      </c>
      <c r="L10" s="21">
        <v>2.7031064594676099E-6</v>
      </c>
      <c r="M10" s="21">
        <v>2.7031064594676099E-6</v>
      </c>
      <c r="N10" s="21">
        <v>1.01676665969188E-6</v>
      </c>
      <c r="O10" s="21">
        <v>2.7349797829254001E-7</v>
      </c>
      <c r="P10" s="21">
        <v>1.3719005224503099E-7</v>
      </c>
      <c r="Q10" s="21">
        <v>5.2419647838806998E-6</v>
      </c>
    </row>
    <row r="11" spans="1:17" hidden="1" x14ac:dyDescent="0.45">
      <c r="A11" s="9" t="s">
        <v>39</v>
      </c>
      <c r="B11" s="9" t="s">
        <v>40</v>
      </c>
      <c r="C11" s="9" t="s">
        <v>14</v>
      </c>
      <c r="D11" s="21">
        <v>2.5632377055024792E-2</v>
      </c>
      <c r="E11" s="21">
        <v>3.0808447767778722E-3</v>
      </c>
      <c r="F11" s="21">
        <v>8.7537306593222283E-4</v>
      </c>
      <c r="G11" s="21">
        <v>1.9873360585813118E-3</v>
      </c>
      <c r="H11" s="21">
        <v>3.5749644519482899E-3</v>
      </c>
      <c r="I11" s="21">
        <v>5.5623005105296022E-3</v>
      </c>
      <c r="J11" s="21">
        <v>4.2741562024311676E-3</v>
      </c>
      <c r="K11" s="21">
        <v>1.435544148313321E-3</v>
      </c>
      <c r="L11" s="21">
        <v>1.435544148313321E-3</v>
      </c>
      <c r="M11" s="21">
        <v>1.435544148313321E-3</v>
      </c>
      <c r="N11" s="21">
        <v>1.757859122971338E-4</v>
      </c>
      <c r="O11" s="21">
        <v>1.3213255719144871E-3</v>
      </c>
      <c r="P11" s="21">
        <v>5.7596815723640255E-4</v>
      </c>
      <c r="Q11" s="21">
        <v>8.3310787095925796E-3</v>
      </c>
    </row>
    <row r="12" spans="1:17" hidden="1" x14ac:dyDescent="0.45">
      <c r="A12" s="9" t="s">
        <v>41</v>
      </c>
      <c r="B12" s="9" t="s">
        <v>40</v>
      </c>
      <c r="C12" s="9" t="s">
        <v>14</v>
      </c>
      <c r="D12" s="21">
        <v>2.563427983463528E-2</v>
      </c>
      <c r="E12" s="21">
        <v>3.081898534647123E-3</v>
      </c>
      <c r="F12" s="21">
        <v>8.7537567242237143E-4</v>
      </c>
      <c r="G12" s="21">
        <v>1.9873619956197828E-3</v>
      </c>
      <c r="H12" s="21">
        <v>3.5751461099773271E-3</v>
      </c>
      <c r="I12" s="21">
        <v>5.5625081055971099E-3</v>
      </c>
      <c r="J12" s="21">
        <v>4.2742144308059726E-3</v>
      </c>
      <c r="K12" s="21">
        <v>1.4356960601058641E-3</v>
      </c>
      <c r="L12" s="21">
        <v>1.4356960601058641E-3</v>
      </c>
      <c r="M12" s="21">
        <v>1.4356960601058641E-3</v>
      </c>
      <c r="N12" s="21">
        <v>1.7580104634154741E-4</v>
      </c>
      <c r="O12" s="21">
        <v>1.3213651437848379E-3</v>
      </c>
      <c r="P12" s="21">
        <v>5.75934031647724E-4</v>
      </c>
      <c r="Q12" s="21">
        <v>8.3314868092827371E-3</v>
      </c>
    </row>
    <row r="13" spans="1:17" hidden="1" x14ac:dyDescent="0.45">
      <c r="A13" s="9" t="s">
        <v>39</v>
      </c>
      <c r="B13" s="9" t="s">
        <v>42</v>
      </c>
      <c r="C13" s="9" t="s">
        <v>14</v>
      </c>
      <c r="D13" s="21">
        <v>2.4742145297925639E-2</v>
      </c>
      <c r="E13" s="21">
        <v>2.7422827442962119E-3</v>
      </c>
      <c r="F13" s="21">
        <v>8.8559514637286238E-4</v>
      </c>
      <c r="G13" s="21">
        <v>1.92360098803897E-3</v>
      </c>
      <c r="H13" s="21">
        <v>3.4379270590663481E-3</v>
      </c>
      <c r="I13" s="21">
        <v>5.361528047105317E-3</v>
      </c>
      <c r="J13" s="21">
        <v>4.1616317679978622E-3</v>
      </c>
      <c r="K13" s="21">
        <v>1.434975974921275E-3</v>
      </c>
      <c r="L13" s="21">
        <v>1.434975974921275E-3</v>
      </c>
      <c r="M13" s="21">
        <v>1.434975974921275E-3</v>
      </c>
      <c r="N13" s="21">
        <v>1.779879680341192E-4</v>
      </c>
      <c r="O13" s="21">
        <v>1.310263840191927E-3</v>
      </c>
      <c r="P13" s="21">
        <v>5.4865606923058861E-4</v>
      </c>
      <c r="Q13" s="21">
        <v>8.1192237397754805E-3</v>
      </c>
    </row>
    <row r="14" spans="1:17" hidden="1" x14ac:dyDescent="0.45">
      <c r="A14" s="9" t="s">
        <v>41</v>
      </c>
      <c r="B14" s="9" t="s">
        <v>42</v>
      </c>
      <c r="C14" s="9" t="s">
        <v>14</v>
      </c>
      <c r="D14" s="21">
        <v>2.474058716308461E-2</v>
      </c>
      <c r="E14" s="21">
        <v>2.741096255145254E-3</v>
      </c>
      <c r="F14" s="21">
        <v>8.8555686732984934E-4</v>
      </c>
      <c r="G14" s="21">
        <v>1.9235964174240611E-3</v>
      </c>
      <c r="H14" s="21">
        <v>3.437209464296675E-3</v>
      </c>
      <c r="I14" s="21">
        <v>5.3608058817207352E-3</v>
      </c>
      <c r="J14" s="21">
        <v>4.1617881110990089E-3</v>
      </c>
      <c r="K14" s="21">
        <v>1.434976867025313E-3</v>
      </c>
      <c r="L14" s="21">
        <v>1.434976867025313E-3</v>
      </c>
      <c r="M14" s="21">
        <v>1.434976867025313E-3</v>
      </c>
      <c r="N14" s="21">
        <v>1.7801223763339339E-4</v>
      </c>
      <c r="O14" s="21">
        <v>1.310360605556859E-3</v>
      </c>
      <c r="P14" s="21">
        <v>5.4870410951054268E-4</v>
      </c>
      <c r="Q14" s="21">
        <v>8.1192862280636581E-3</v>
      </c>
    </row>
    <row r="15" spans="1:17" s="6" customFormat="1" x14ac:dyDescent="0.45">
      <c r="A15" s="18" t="s">
        <v>39</v>
      </c>
      <c r="B15" s="18" t="s">
        <v>43</v>
      </c>
      <c r="C15" s="18" t="s">
        <v>14</v>
      </c>
      <c r="D15" s="23">
        <f>Low_BASE!B13*0.001</f>
        <v>2.5902999999999999E-2</v>
      </c>
      <c r="E15" s="23">
        <f>Low_BASE!C13*0.001</f>
        <v>3.0379999999999999E-3</v>
      </c>
      <c r="F15" s="23">
        <f>Low_BASE!D13*0.001</f>
        <v>8.25E-4</v>
      </c>
      <c r="G15" s="23">
        <f>Low_BASE!E13*0.001</f>
        <v>2.2420000000000001E-3</v>
      </c>
      <c r="H15" s="23">
        <f>Low_BASE!F13*0.001</f>
        <v>2.3050000000000002E-3</v>
      </c>
      <c r="I15" s="23">
        <f>Low_BASE!G13*0.001</f>
        <v>4.5469999999999998E-3</v>
      </c>
      <c r="J15" s="23">
        <f>Low_BASE!H13*0.001</f>
        <v>3.039E-3</v>
      </c>
      <c r="K15" s="23">
        <f>Low_BASE!I13*0.001</f>
        <v>1.1410000000000001E-3</v>
      </c>
      <c r="L15" s="23">
        <f>Low_BASE!J13*0.001</f>
        <v>7.6300000000000001E-4</v>
      </c>
      <c r="M15" s="23">
        <f>Low_BASE!K13*0.001</f>
        <v>3.9600000000000003E-4</v>
      </c>
      <c r="N15" s="23">
        <f>Low_BASE!L13*0.001</f>
        <v>1.6700000000000002E-4</v>
      </c>
      <c r="O15" s="23">
        <f>Low_BASE!M13*0.001</f>
        <v>1.0889999999999999E-3</v>
      </c>
      <c r="P15" s="23">
        <f>Low_BASE!N13*0.001</f>
        <v>5.9999999999999995E-4</v>
      </c>
      <c r="Q15" s="23">
        <f>Low_BASE!O13*0.001</f>
        <v>1.1457E-2</v>
      </c>
    </row>
    <row r="16" spans="1:17" s="18" customFormat="1" x14ac:dyDescent="0.45">
      <c r="A16" s="18" t="s">
        <v>44</v>
      </c>
      <c r="B16" s="18" t="s">
        <v>43</v>
      </c>
      <c r="C16" s="18" t="s">
        <v>14</v>
      </c>
      <c r="D16" s="23">
        <v>2.591386068467183E-2</v>
      </c>
      <c r="E16" s="23">
        <v>3.0418274367492509E-3</v>
      </c>
      <c r="F16" s="23">
        <v>8.2446671713391393E-4</v>
      </c>
      <c r="G16" s="23">
        <v>2.2428263195309831E-3</v>
      </c>
      <c r="H16" s="23">
        <v>2.3061785304245028E-3</v>
      </c>
      <c r="I16" s="23">
        <v>4.5490048499554868E-3</v>
      </c>
      <c r="J16" s="23">
        <v>3.0399013431461059E-3</v>
      </c>
      <c r="K16" s="23">
        <v>1.1413862371098349E-3</v>
      </c>
      <c r="L16" s="23">
        <v>1.1413862371098349E-3</v>
      </c>
      <c r="M16" s="23">
        <v>1.1413862371098349E-3</v>
      </c>
      <c r="N16" s="23">
        <v>1.6688467825485491E-4</v>
      </c>
      <c r="O16" s="23">
        <v>1.089200887661962E-3</v>
      </c>
      <c r="P16" s="23">
        <v>6.0019806586062406E-4</v>
      </c>
      <c r="Q16" s="23">
        <v>1.14609904687998E-2</v>
      </c>
    </row>
    <row r="17" spans="1:17" s="6" customFormat="1" x14ac:dyDescent="0.45">
      <c r="A17" s="18" t="s">
        <v>41</v>
      </c>
      <c r="B17" s="18" t="s">
        <v>43</v>
      </c>
      <c r="C17" s="18" t="s">
        <v>14</v>
      </c>
      <c r="D17" s="23">
        <v>2.5910233469082319E-2</v>
      </c>
      <c r="E17" s="23">
        <v>3.0392764169967388E-3</v>
      </c>
      <c r="F17" s="23">
        <v>8.2448366363711844E-4</v>
      </c>
      <c r="G17" s="23">
        <v>2.2426126729465901E-3</v>
      </c>
      <c r="H17" s="23">
        <v>2.306217980317481E-3</v>
      </c>
      <c r="I17" s="23">
        <v>4.5488306532640698E-3</v>
      </c>
      <c r="J17" s="23">
        <v>3.039740625716803E-3</v>
      </c>
      <c r="K17" s="23">
        <v>1.141339619764075E-3</v>
      </c>
      <c r="L17" s="23">
        <v>1.141339619764075E-3</v>
      </c>
      <c r="M17" s="23">
        <v>1.141339619764075E-3</v>
      </c>
      <c r="N17" s="23">
        <v>1.6693016008500751E-4</v>
      </c>
      <c r="O17" s="23">
        <v>1.089157139229047E-3</v>
      </c>
      <c r="P17" s="23">
        <v>6.0006878598844072E-4</v>
      </c>
      <c r="Q17" s="23">
        <v>1.1460406404401021E-2</v>
      </c>
    </row>
    <row r="18" spans="1:17" hidden="1" x14ac:dyDescent="0.45">
      <c r="A18" s="9" t="s">
        <v>39</v>
      </c>
      <c r="B18" s="9" t="s">
        <v>45</v>
      </c>
      <c r="C18" s="9" t="s">
        <v>14</v>
      </c>
      <c r="D18" s="21">
        <v>4.86146405840093E-2</v>
      </c>
      <c r="E18" s="21">
        <v>1.25030538276796E-2</v>
      </c>
      <c r="F18" s="21">
        <v>3.0122422380339901E-3</v>
      </c>
      <c r="G18" s="21">
        <v>3.7890532453898401E-3</v>
      </c>
      <c r="H18" s="21">
        <v>2.8939269004128799E-3</v>
      </c>
      <c r="I18" s="21">
        <v>6.68298014580273E-3</v>
      </c>
      <c r="J18" s="21">
        <v>4.5278814082541597E-3</v>
      </c>
      <c r="K18" s="21">
        <v>2.5121785262138502E-3</v>
      </c>
      <c r="L18" s="21">
        <v>2.5121785262138502E-3</v>
      </c>
      <c r="M18" s="21">
        <v>2.5121785262138502E-3</v>
      </c>
      <c r="N18" s="21">
        <v>5.7371700479434099E-4</v>
      </c>
      <c r="O18" s="21">
        <v>1.34070736236652E-3</v>
      </c>
      <c r="P18" s="21">
        <v>1.6286736453659701E-3</v>
      </c>
      <c r="Q18" s="21">
        <v>1.5833206425498101E-2</v>
      </c>
    </row>
    <row r="19" spans="1:17" hidden="1" x14ac:dyDescent="0.45">
      <c r="A19" s="9" t="s">
        <v>41</v>
      </c>
      <c r="B19" s="9" t="s">
        <v>45</v>
      </c>
      <c r="C19" s="9" t="s">
        <v>14</v>
      </c>
      <c r="D19" s="21">
        <v>4.8599999999999997E-2</v>
      </c>
      <c r="E19" s="21">
        <v>1.2500000000000001E-2</v>
      </c>
      <c r="F19" s="21">
        <v>3.0000000000000001E-3</v>
      </c>
      <c r="G19" s="21">
        <v>3.8E-3</v>
      </c>
      <c r="H19" s="21">
        <v>2.8999999999999998E-3</v>
      </c>
      <c r="I19" s="21">
        <v>6.7000000000000002E-3</v>
      </c>
      <c r="J19" s="21">
        <v>4.4999999999999997E-3</v>
      </c>
      <c r="K19" s="21">
        <v>2.5000000000000001E-3</v>
      </c>
      <c r="L19" s="21">
        <v>2.5000000000000001E-3</v>
      </c>
      <c r="M19" s="21">
        <v>2.5000000000000001E-3</v>
      </c>
      <c r="N19" s="21">
        <v>5.9999999999999995E-4</v>
      </c>
      <c r="O19" s="21">
        <v>1.2999999999999999E-3</v>
      </c>
      <c r="P19" s="21">
        <v>1.6000000000000001E-3</v>
      </c>
      <c r="Q19" s="21">
        <v>1.5800000000000002E-2</v>
      </c>
    </row>
    <row r="20" spans="1:17" hidden="1" x14ac:dyDescent="0.45">
      <c r="A20" s="9" t="s">
        <v>39</v>
      </c>
      <c r="B20" s="9" t="s">
        <v>40</v>
      </c>
      <c r="C20" s="9" t="s">
        <v>15</v>
      </c>
      <c r="D20" s="21">
        <v>0.31511085860046312</v>
      </c>
      <c r="E20" s="21">
        <v>1.3792339011615555E-2</v>
      </c>
      <c r="F20" s="21">
        <v>2.9617929835263807E-2</v>
      </c>
      <c r="G20" s="21">
        <v>7.1313733128033657E-2</v>
      </c>
      <c r="H20" s="21">
        <v>2.4030681856646148E-2</v>
      </c>
      <c r="I20" s="21">
        <v>9.5344414984679798E-2</v>
      </c>
      <c r="J20" s="21">
        <v>7.6958800712806832E-3</v>
      </c>
      <c r="K20" s="21">
        <v>4.5100480530223296E-3</v>
      </c>
      <c r="L20" s="21">
        <v>4.5100480530223296E-3</v>
      </c>
      <c r="M20" s="21">
        <v>4.5100480530223296E-3</v>
      </c>
      <c r="N20" s="21">
        <v>1.2834712919964392E-3</v>
      </c>
      <c r="O20" s="21">
        <v>1.6867352513916727E-2</v>
      </c>
      <c r="P20" s="21">
        <v>9.7059349982527229E-3</v>
      </c>
      <c r="Q20" s="21">
        <v>0.13629348784043507</v>
      </c>
    </row>
    <row r="21" spans="1:17" hidden="1" x14ac:dyDescent="0.45">
      <c r="A21" s="9" t="s">
        <v>41</v>
      </c>
      <c r="B21" s="9" t="s">
        <v>40</v>
      </c>
      <c r="C21" s="9" t="s">
        <v>15</v>
      </c>
      <c r="D21" s="21">
        <v>0.3151067109876719</v>
      </c>
      <c r="E21" s="21">
        <v>1.3774976533651973E-2</v>
      </c>
      <c r="F21" s="21">
        <v>2.9614084414400187E-2</v>
      </c>
      <c r="G21" s="21">
        <v>7.1310099400394483E-2</v>
      </c>
      <c r="H21" s="21">
        <v>2.4026342753466188E-2</v>
      </c>
      <c r="I21" s="21">
        <v>9.5336442153860668E-2</v>
      </c>
      <c r="J21" s="21">
        <v>7.68908341567014E-3</v>
      </c>
      <c r="K21" s="21">
        <v>4.5067220680940065E-3</v>
      </c>
      <c r="L21" s="21">
        <v>4.5067220680940065E-3</v>
      </c>
      <c r="M21" s="21">
        <v>4.5067220680940065E-3</v>
      </c>
      <c r="N21" s="21">
        <v>1.2826235934459602E-3</v>
      </c>
      <c r="O21" s="21">
        <v>1.6870466987212476E-2</v>
      </c>
      <c r="P21" s="21">
        <v>9.6976299565502549E-3</v>
      </c>
      <c r="Q21" s="21">
        <v>0.13633468186478623</v>
      </c>
    </row>
    <row r="22" spans="1:17" s="9" customFormat="1" hidden="1" x14ac:dyDescent="0.45">
      <c r="A22" s="9" t="s">
        <v>39</v>
      </c>
      <c r="B22" s="9" t="s">
        <v>42</v>
      </c>
      <c r="C22" s="9" t="s">
        <v>15</v>
      </c>
      <c r="D22" s="21">
        <v>0.33179869094894293</v>
      </c>
      <c r="E22" s="21">
        <v>1.512759308999613E-2</v>
      </c>
      <c r="F22" s="21">
        <v>3.1219288016463564E-2</v>
      </c>
      <c r="G22" s="21">
        <v>7.3627400032271195E-2</v>
      </c>
      <c r="H22" s="21">
        <v>2.606632088620708E-2</v>
      </c>
      <c r="I22" s="21">
        <v>9.9693720918478279E-2</v>
      </c>
      <c r="J22" s="21">
        <v>8.5015320966795923E-3</v>
      </c>
      <c r="K22" s="21">
        <v>4.6852937651083804E-3</v>
      </c>
      <c r="L22" s="21">
        <v>4.6852937651083804E-3</v>
      </c>
      <c r="M22" s="21">
        <v>4.6852937651083804E-3</v>
      </c>
      <c r="N22" s="21">
        <v>1.3590797451199651E-3</v>
      </c>
      <c r="O22" s="21">
        <v>2.0610753141317797E-2</v>
      </c>
      <c r="P22" s="21">
        <v>1.1100859907118038E-2</v>
      </c>
      <c r="Q22" s="21">
        <v>0.13950057026866111</v>
      </c>
    </row>
    <row r="23" spans="1:17" hidden="1" x14ac:dyDescent="0.45">
      <c r="A23" s="9" t="s">
        <v>41</v>
      </c>
      <c r="B23" s="9" t="s">
        <v>42</v>
      </c>
      <c r="C23" s="9" t="s">
        <v>15</v>
      </c>
      <c r="D23" s="21">
        <v>0.33179464355098831</v>
      </c>
      <c r="E23" s="21">
        <v>1.5108691055157138E-2</v>
      </c>
      <c r="F23" s="21">
        <v>3.1215806615670531E-2</v>
      </c>
      <c r="G23" s="21">
        <v>7.3624507317831184E-2</v>
      </c>
      <c r="H23" s="21">
        <v>2.6062570412250189E-2</v>
      </c>
      <c r="I23" s="21">
        <v>9.9687077730081369E-2</v>
      </c>
      <c r="J23" s="21">
        <v>8.4940376199547796E-3</v>
      </c>
      <c r="K23" s="21">
        <v>4.681894273542435E-3</v>
      </c>
      <c r="L23" s="21">
        <v>4.681894273542435E-3</v>
      </c>
      <c r="M23" s="21">
        <v>4.681894273542435E-3</v>
      </c>
      <c r="N23" s="21">
        <v>1.3581689458063749E-3</v>
      </c>
      <c r="O23" s="21">
        <v>2.061447243021167E-2</v>
      </c>
      <c r="P23" s="21">
        <v>1.1091752312349082E-2</v>
      </c>
      <c r="Q23" s="21">
        <v>0.13954274256821492</v>
      </c>
    </row>
    <row r="24" spans="1:17" s="6" customFormat="1" x14ac:dyDescent="0.45">
      <c r="A24" s="18" t="s">
        <v>39</v>
      </c>
      <c r="B24" s="18" t="s">
        <v>43</v>
      </c>
      <c r="C24" s="18" t="s">
        <v>15</v>
      </c>
      <c r="D24" s="23">
        <v>0.30493874856531578</v>
      </c>
      <c r="E24" s="23">
        <v>1.2677537483644443E-2</v>
      </c>
      <c r="F24" s="23">
        <v>2.8371217695158709E-2</v>
      </c>
      <c r="G24" s="23">
        <v>6.9940304450100244E-2</v>
      </c>
      <c r="H24" s="23">
        <v>2.3678804787659085E-2</v>
      </c>
      <c r="I24" s="23">
        <v>9.3619109237759318E-2</v>
      </c>
      <c r="J24" s="23">
        <v>7.5710426370629788E-3</v>
      </c>
      <c r="K24" s="23">
        <v>4.4055342722126691E-3</v>
      </c>
      <c r="L24" s="23">
        <v>4.4055342722126691E-3</v>
      </c>
      <c r="M24" s="23">
        <v>4.4055342722126691E-3</v>
      </c>
      <c r="N24" s="23">
        <v>1.2330765995212897E-3</v>
      </c>
      <c r="O24" s="23">
        <v>1.6534838913109254E-2</v>
      </c>
      <c r="P24" s="23">
        <v>9.1776340228902787E-3</v>
      </c>
      <c r="Q24" s="23">
        <v>0.13134875770395679</v>
      </c>
    </row>
    <row r="25" spans="1:17" s="6" customFormat="1" x14ac:dyDescent="0.45">
      <c r="A25" s="18" t="s">
        <v>44</v>
      </c>
      <c r="B25" s="18" t="s">
        <v>43</v>
      </c>
      <c r="C25" s="18" t="s">
        <v>15</v>
      </c>
      <c r="D25" s="23">
        <v>0.30494547975576652</v>
      </c>
      <c r="E25" s="23">
        <v>1.2678000381248659E-2</v>
      </c>
      <c r="F25" s="23">
        <v>2.8359201166284955E-2</v>
      </c>
      <c r="G25" s="23">
        <v>6.9953351365080602E-2</v>
      </c>
      <c r="H25" s="23">
        <v>2.3677776547361636E-2</v>
      </c>
      <c r="I25" s="23">
        <v>9.3631127912442227E-2</v>
      </c>
      <c r="J25" s="23">
        <v>7.5688912468152682E-3</v>
      </c>
      <c r="K25" s="23">
        <v>4.4056058104112129E-3</v>
      </c>
      <c r="L25" s="23">
        <v>4.4056058104112129E-3</v>
      </c>
      <c r="M25" s="23">
        <v>4.4056058104112129E-3</v>
      </c>
      <c r="N25" s="23">
        <v>1.2333984396681794E-3</v>
      </c>
      <c r="O25" s="23">
        <v>1.6533098453651179E-2</v>
      </c>
      <c r="P25" s="23">
        <v>9.1679844810689977E-3</v>
      </c>
      <c r="Q25" s="23">
        <v>0.13136817186417588</v>
      </c>
    </row>
    <row r="26" spans="1:17" s="6" customFormat="1" x14ac:dyDescent="0.45">
      <c r="A26" s="18" t="s">
        <v>41</v>
      </c>
      <c r="B26" s="18" t="s">
        <v>43</v>
      </c>
      <c r="C26" s="18" t="s">
        <v>15</v>
      </c>
      <c r="D26" s="23">
        <v>0.30493430372499936</v>
      </c>
      <c r="E26" s="23">
        <v>1.2661416142088693E-2</v>
      </c>
      <c r="F26" s="23">
        <v>2.8367259125319528E-2</v>
      </c>
      <c r="G26" s="23">
        <v>6.99360519523302E-2</v>
      </c>
      <c r="H26" s="23">
        <v>2.3674529244653669E-2</v>
      </c>
      <c r="I26" s="23">
        <v>9.36105811969839E-2</v>
      </c>
      <c r="J26" s="23">
        <v>7.5643690356497467E-3</v>
      </c>
      <c r="K26" s="23">
        <v>4.4022558630326036E-3</v>
      </c>
      <c r="L26" s="23">
        <v>4.4022558630326036E-3</v>
      </c>
      <c r="M26" s="23">
        <v>4.4022558630326036E-3</v>
      </c>
      <c r="N26" s="23">
        <v>1.2322712686326173E-3</v>
      </c>
      <c r="O26" s="23">
        <v>1.6537816957019818E-2</v>
      </c>
      <c r="P26" s="23">
        <v>9.1699105174820709E-3</v>
      </c>
      <c r="Q26" s="23">
        <v>0.13138842361879038</v>
      </c>
    </row>
    <row r="27" spans="1:17" hidden="1" x14ac:dyDescent="0.45">
      <c r="A27" s="9" t="s">
        <v>39</v>
      </c>
      <c r="B27" s="9" t="s">
        <v>45</v>
      </c>
      <c r="C27" s="9" t="s">
        <v>15</v>
      </c>
      <c r="D27" s="21">
        <v>0.23390925050589201</v>
      </c>
      <c r="E27" s="21">
        <v>1.0466449651401401E-2</v>
      </c>
      <c r="F27" s="21">
        <v>2.1392114904115699E-2</v>
      </c>
      <c r="G27" s="21">
        <v>5.1225156181619803E-2</v>
      </c>
      <c r="H27" s="21">
        <v>1.68200111306946E-2</v>
      </c>
      <c r="I27" s="21">
        <v>6.8045167312314497E-2</v>
      </c>
      <c r="J27" s="21">
        <v>6.0056526022124E-3</v>
      </c>
      <c r="K27" s="21">
        <v>3.7755138376163499E-3</v>
      </c>
      <c r="L27" s="21">
        <v>3.7755138376163499E-3</v>
      </c>
      <c r="M27" s="21">
        <v>3.7755138376163499E-3</v>
      </c>
      <c r="N27" s="21">
        <v>9.1072110297843803E-4</v>
      </c>
      <c r="O27" s="21">
        <v>1.3373042568041499E-2</v>
      </c>
      <c r="P27" s="21">
        <v>7.3574000944673801E-3</v>
      </c>
      <c r="Q27" s="21">
        <v>0.102583188432744</v>
      </c>
    </row>
    <row r="28" spans="1:17" s="9" customFormat="1" hidden="1" x14ac:dyDescent="0.45">
      <c r="A28" s="9" t="s">
        <v>41</v>
      </c>
      <c r="B28" s="9" t="s">
        <v>45</v>
      </c>
      <c r="C28" s="9" t="s">
        <v>15</v>
      </c>
      <c r="D28" s="21">
        <v>0.2339</v>
      </c>
      <c r="E28" s="21">
        <v>1.04E-2</v>
      </c>
      <c r="F28" s="21">
        <v>2.1399999999999999E-2</v>
      </c>
      <c r="G28" s="21">
        <v>5.1200000000000002E-2</v>
      </c>
      <c r="H28" s="21">
        <v>1.6799999999999999E-2</v>
      </c>
      <c r="I28" s="21">
        <v>6.8000000000000005E-2</v>
      </c>
      <c r="J28" s="21">
        <v>6.0000000000000001E-3</v>
      </c>
      <c r="K28" s="21">
        <v>3.8E-3</v>
      </c>
      <c r="L28" s="21">
        <v>3.8E-3</v>
      </c>
      <c r="M28" s="21">
        <v>3.8E-3</v>
      </c>
      <c r="N28" s="21">
        <v>8.9999999999999998E-4</v>
      </c>
      <c r="O28" s="21">
        <v>1.34E-2</v>
      </c>
      <c r="P28" s="21">
        <v>7.4000000000000003E-3</v>
      </c>
      <c r="Q28" s="21">
        <v>0.1026</v>
      </c>
    </row>
    <row r="29" spans="1:17" hidden="1" x14ac:dyDescent="0.45">
      <c r="D29" s="10"/>
    </row>
    <row r="30" spans="1:17" hidden="1" x14ac:dyDescent="0.45">
      <c r="D30" s="10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</row>
    <row r="31" spans="1:17" hidden="1" x14ac:dyDescent="0.45"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 spans="1:17" hidden="1" x14ac:dyDescent="0.45"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4:17" hidden="1" x14ac:dyDescent="0.45"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4:17" hidden="1" x14ac:dyDescent="0.45">
      <c r="D34" s="10"/>
    </row>
    <row r="35" spans="4:17" s="9" customFormat="1" hidden="1" x14ac:dyDescent="0.45"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4:17" hidden="1" x14ac:dyDescent="0.45">
      <c r="D36" s="10"/>
    </row>
    <row r="37" spans="4:17" hidden="1" x14ac:dyDescent="0.45">
      <c r="D37" s="10"/>
    </row>
    <row r="38" spans="4:17" hidden="1" x14ac:dyDescent="0.45">
      <c r="D38" s="10"/>
    </row>
    <row r="39" spans="4:17" hidden="1" x14ac:dyDescent="0.45">
      <c r="D39" s="10"/>
    </row>
    <row r="40" spans="4:17" hidden="1" x14ac:dyDescent="0.45">
      <c r="D40" s="10"/>
    </row>
    <row r="41" spans="4:17" hidden="1" x14ac:dyDescent="0.45">
      <c r="D41" s="10"/>
    </row>
    <row r="42" spans="4:17" s="9" customFormat="1" hidden="1" x14ac:dyDescent="0.45"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4:17" hidden="1" x14ac:dyDescent="0.45">
      <c r="D43" s="10"/>
    </row>
    <row r="44" spans="4:17" hidden="1" x14ac:dyDescent="0.45">
      <c r="D44" s="10"/>
    </row>
    <row r="45" spans="4:17" hidden="1" x14ac:dyDescent="0.45">
      <c r="D45" s="10"/>
    </row>
    <row r="46" spans="4:17" hidden="1" x14ac:dyDescent="0.45">
      <c r="D46" s="10"/>
    </row>
    <row r="47" spans="4:17" hidden="1" x14ac:dyDescent="0.45">
      <c r="D47" s="10"/>
    </row>
    <row r="48" spans="4:17" hidden="1" x14ac:dyDescent="0.45">
      <c r="D48" s="10"/>
    </row>
    <row r="49" spans="4:17" s="9" customFormat="1" hidden="1" x14ac:dyDescent="0.45"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4:17" hidden="1" x14ac:dyDescent="0.45">
      <c r="D50" s="10"/>
    </row>
    <row r="51" spans="4:17" hidden="1" x14ac:dyDescent="0.45">
      <c r="D51" s="10"/>
    </row>
    <row r="52" spans="4:17" hidden="1" x14ac:dyDescent="0.45">
      <c r="D52" s="10"/>
    </row>
    <row r="53" spans="4:17" hidden="1" x14ac:dyDescent="0.45">
      <c r="D53" s="10"/>
    </row>
    <row r="54" spans="4:17" hidden="1" x14ac:dyDescent="0.45">
      <c r="D54" s="10"/>
    </row>
    <row r="55" spans="4:17" hidden="1" x14ac:dyDescent="0.45">
      <c r="D55" s="10"/>
    </row>
    <row r="56" spans="4:17" s="9" customFormat="1" hidden="1" x14ac:dyDescent="0.45"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4:17" hidden="1" x14ac:dyDescent="0.45">
      <c r="D57" s="10"/>
    </row>
    <row r="58" spans="4:17" hidden="1" x14ac:dyDescent="0.45">
      <c r="D58" s="10"/>
    </row>
    <row r="59" spans="4:17" hidden="1" x14ac:dyDescent="0.45">
      <c r="D59" s="10"/>
    </row>
    <row r="60" spans="4:17" hidden="1" x14ac:dyDescent="0.45">
      <c r="D60" s="10"/>
    </row>
    <row r="61" spans="4:17" hidden="1" x14ac:dyDescent="0.45">
      <c r="D61" s="10"/>
    </row>
    <row r="62" spans="4:17" hidden="1" x14ac:dyDescent="0.45">
      <c r="D62" s="10"/>
    </row>
    <row r="63" spans="4:17" s="9" customFormat="1" hidden="1" x14ac:dyDescent="0.45"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4:17" hidden="1" x14ac:dyDescent="0.45">
      <c r="D64" s="10"/>
    </row>
    <row r="65" spans="1:17" hidden="1" x14ac:dyDescent="0.45">
      <c r="D65" s="10"/>
    </row>
    <row r="66" spans="1:17" hidden="1" x14ac:dyDescent="0.45">
      <c r="D66" s="10"/>
    </row>
    <row r="67" spans="1:17" hidden="1" x14ac:dyDescent="0.45">
      <c r="D67" s="10"/>
    </row>
    <row r="68" spans="1:17" hidden="1" x14ac:dyDescent="0.45">
      <c r="D68" s="10"/>
    </row>
    <row r="69" spans="1:17" hidden="1" x14ac:dyDescent="0.45">
      <c r="A69" s="9"/>
      <c r="B69" s="9"/>
      <c r="C69" s="9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1:17" hidden="1" x14ac:dyDescent="0.45">
      <c r="A70" s="9"/>
      <c r="B70" s="9"/>
      <c r="C70" s="9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1:17" hidden="1" x14ac:dyDescent="0.45">
      <c r="A71" s="9"/>
      <c r="B71" s="9"/>
      <c r="C71" s="9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17" hidden="1" x14ac:dyDescent="0.45">
      <c r="A72" s="9"/>
      <c r="B72" s="9"/>
      <c r="C72" s="9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1:17" hidden="1" x14ac:dyDescent="0.45">
      <c r="A73" s="9"/>
      <c r="B73" s="9"/>
      <c r="C73" s="9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1:17" hidden="1" x14ac:dyDescent="0.45">
      <c r="A74" s="9"/>
      <c r="B74" s="9"/>
      <c r="C74" s="9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1:17" hidden="1" x14ac:dyDescent="0.45">
      <c r="A75" s="9"/>
      <c r="B75" s="9"/>
      <c r="C75" s="9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1:17" hidden="1" x14ac:dyDescent="0.45">
      <c r="A76" s="9"/>
      <c r="B76" s="9"/>
      <c r="C76" s="9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spans="1:17" hidden="1" x14ac:dyDescent="0.45">
      <c r="A77" s="9"/>
      <c r="B77" s="9"/>
      <c r="C77" s="9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spans="1:17" hidden="1" x14ac:dyDescent="0.45">
      <c r="A78" s="9"/>
      <c r="B78" s="9"/>
      <c r="C78" s="9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spans="1:17" hidden="1" x14ac:dyDescent="0.45">
      <c r="A79" s="9"/>
      <c r="B79" s="9"/>
      <c r="C79" s="9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spans="1:17" hidden="1" x14ac:dyDescent="0.45">
      <c r="A80" s="9"/>
      <c r="B80" s="9"/>
      <c r="C80" s="9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spans="1:17" hidden="1" x14ac:dyDescent="0.45">
      <c r="A81" s="9"/>
      <c r="B81" s="9"/>
      <c r="C81" s="9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spans="1:17" hidden="1" x14ac:dyDescent="0.45">
      <c r="A82" s="9"/>
      <c r="B82" s="9"/>
      <c r="C82" s="9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spans="1:17" hidden="1" x14ac:dyDescent="0.45">
      <c r="A83" s="9"/>
      <c r="B83" s="9"/>
      <c r="C83" s="9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spans="1:17" hidden="1" x14ac:dyDescent="0.45">
      <c r="A84" s="9"/>
      <c r="B84" s="9"/>
      <c r="C84" s="9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spans="1:17" hidden="1" x14ac:dyDescent="0.45">
      <c r="A85" s="9"/>
      <c r="B85" s="9"/>
      <c r="C85" s="9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spans="1:17" hidden="1" x14ac:dyDescent="0.45">
      <c r="A86" s="9"/>
      <c r="B86" s="9"/>
      <c r="C86" s="9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spans="1:17" hidden="1" x14ac:dyDescent="0.45">
      <c r="A87" s="9"/>
      <c r="B87" s="9"/>
      <c r="C87" s="9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spans="1:17" hidden="1" x14ac:dyDescent="0.45">
      <c r="A88" s="9"/>
      <c r="B88" s="9"/>
      <c r="C88" s="9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spans="1:17" hidden="1" x14ac:dyDescent="0.45"/>
    <row r="90" spans="1:17" hidden="1" x14ac:dyDescent="0.45"/>
    <row r="91" spans="1:17" hidden="1" x14ac:dyDescent="0.45">
      <c r="C91" t="s">
        <v>51</v>
      </c>
      <c r="D91" s="27">
        <f>(D6+D15+D24)*1000</f>
        <v>367.03074856531578</v>
      </c>
    </row>
    <row r="92" spans="1:17" hidden="1" x14ac:dyDescent="0.45">
      <c r="D92" s="26">
        <f>D6*1000</f>
        <v>36.189</v>
      </c>
      <c r="E92" s="1">
        <f>D92/D$91</f>
        <v>9.8599368422016304E-2</v>
      </c>
    </row>
    <row r="93" spans="1:17" hidden="1" x14ac:dyDescent="0.45">
      <c r="D93" s="26">
        <f>D15*1000</f>
        <v>25.902999999999999</v>
      </c>
      <c r="E93" s="1">
        <f t="shared" ref="E93:E94" si="0">D93/D$91</f>
        <v>7.0574468491405903E-2</v>
      </c>
    </row>
    <row r="94" spans="1:17" hidden="1" x14ac:dyDescent="0.45">
      <c r="D94" s="27">
        <f>D24*1000</f>
        <v>304.93874856531579</v>
      </c>
      <c r="E94" s="1">
        <f t="shared" si="0"/>
        <v>0.83082616308657786</v>
      </c>
    </row>
    <row r="95" spans="1:17" hidden="1" x14ac:dyDescent="0.45">
      <c r="C95" t="s">
        <v>52</v>
      </c>
      <c r="D95" s="27">
        <f>SUM(D7+D16+D25)*1000</f>
        <v>368.21334044043834</v>
      </c>
      <c r="E95" s="1"/>
    </row>
    <row r="96" spans="1:17" hidden="1" x14ac:dyDescent="0.45">
      <c r="D96" s="26">
        <f>D7*1000</f>
        <v>37.353999999999999</v>
      </c>
      <c r="E96" s="1">
        <f>D96/D$95</f>
        <v>0.10144662318676183</v>
      </c>
    </row>
    <row r="97" spans="3:5" hidden="1" x14ac:dyDescent="0.45">
      <c r="D97" s="26">
        <v>25.907407914867562</v>
      </c>
      <c r="E97" s="1">
        <f>D97/D$95</f>
        <v>7.0359775351643755E-2</v>
      </c>
    </row>
    <row r="98" spans="3:5" hidden="1" x14ac:dyDescent="0.45">
      <c r="D98" s="27">
        <v>304.93874856531602</v>
      </c>
      <c r="E98" s="1">
        <f>D98/D$95</f>
        <v>0.82815779623998298</v>
      </c>
    </row>
    <row r="99" spans="3:5" hidden="1" x14ac:dyDescent="0.45">
      <c r="C99" t="s">
        <v>53</v>
      </c>
      <c r="D99" s="27">
        <f>SUM(D8+D17+D26)*1000</f>
        <v>379.42953719408166</v>
      </c>
      <c r="E99" s="1"/>
    </row>
    <row r="100" spans="3:5" hidden="1" x14ac:dyDescent="0.45">
      <c r="D100" s="26">
        <f>D8*1000</f>
        <v>48.585000000000001</v>
      </c>
      <c r="E100" s="1">
        <f>D100/D$99</f>
        <v>0.12804749034376922</v>
      </c>
    </row>
    <row r="101" spans="3:5" hidden="1" x14ac:dyDescent="0.45">
      <c r="D101" s="26">
        <v>25.907407914867562</v>
      </c>
      <c r="E101" s="1">
        <f t="shared" ref="E101:E102" si="1">D101/D$99</f>
        <v>6.8279892246806514E-2</v>
      </c>
    </row>
    <row r="102" spans="3:5" hidden="1" x14ac:dyDescent="0.45">
      <c r="D102" s="27">
        <v>304.93874856531579</v>
      </c>
      <c r="E102" s="1">
        <f t="shared" si="1"/>
        <v>0.80367688509536583</v>
      </c>
    </row>
    <row r="104" spans="3:5" x14ac:dyDescent="0.45">
      <c r="C104" s="28"/>
      <c r="D104" s="29" t="s">
        <v>55</v>
      </c>
      <c r="E104" s="30" t="s">
        <v>54</v>
      </c>
    </row>
    <row r="105" spans="3:5" x14ac:dyDescent="0.45">
      <c r="C105" s="31" t="s">
        <v>51</v>
      </c>
      <c r="D105" s="32">
        <f>(D6+D15+D24)*1000</f>
        <v>367.03074856531578</v>
      </c>
      <c r="E105" s="33"/>
    </row>
    <row r="106" spans="3:5" x14ac:dyDescent="0.45">
      <c r="C106" s="34" t="s">
        <v>13</v>
      </c>
      <c r="D106" s="35">
        <f>D6*1000</f>
        <v>36.189</v>
      </c>
      <c r="E106" s="36">
        <f>D106/D$91</f>
        <v>9.8599368422016304E-2</v>
      </c>
    </row>
    <row r="107" spans="3:5" x14ac:dyDescent="0.45">
      <c r="C107" s="34" t="s">
        <v>14</v>
      </c>
      <c r="D107" s="35">
        <f>D16*1000</f>
        <v>25.913860684671832</v>
      </c>
      <c r="E107" s="36">
        <f t="shared" ref="E107:E108" si="2">D107/D$91</f>
        <v>7.0604059158439342E-2</v>
      </c>
    </row>
    <row r="108" spans="3:5" x14ac:dyDescent="0.45">
      <c r="C108" s="34" t="s">
        <v>15</v>
      </c>
      <c r="D108" s="32">
        <f>D24*1000</f>
        <v>304.93874856531579</v>
      </c>
      <c r="E108" s="36">
        <f t="shared" si="2"/>
        <v>0.83082616308657786</v>
      </c>
    </row>
    <row r="109" spans="3:5" x14ac:dyDescent="0.45">
      <c r="C109" s="31" t="s">
        <v>52</v>
      </c>
      <c r="D109" s="32">
        <f>SUM(D7+D16+D25)*1000</f>
        <v>368.21334044043834</v>
      </c>
      <c r="E109" s="36"/>
    </row>
    <row r="110" spans="3:5" x14ac:dyDescent="0.45">
      <c r="C110" s="34" t="s">
        <v>13</v>
      </c>
      <c r="D110" s="35">
        <f>D7*1000</f>
        <v>37.353999999999999</v>
      </c>
      <c r="E110" s="36">
        <f>D110/D$95</f>
        <v>0.10144662318676183</v>
      </c>
    </row>
    <row r="111" spans="3:5" x14ac:dyDescent="0.45">
      <c r="C111" s="34" t="s">
        <v>14</v>
      </c>
      <c r="D111" s="35">
        <f>D16*1000</f>
        <v>25.913860684671832</v>
      </c>
      <c r="E111" s="36">
        <f>D111/D$95</f>
        <v>7.0377299892706149E-2</v>
      </c>
    </row>
    <row r="112" spans="3:5" x14ac:dyDescent="0.45">
      <c r="C112" s="34" t="s">
        <v>15</v>
      </c>
      <c r="D112" s="32">
        <v>304.93874856531602</v>
      </c>
      <c r="E112" s="36">
        <f>D112/D$95</f>
        <v>0.82815779623998298</v>
      </c>
    </row>
    <row r="113" spans="3:5" x14ac:dyDescent="0.45">
      <c r="C113" s="31" t="s">
        <v>53</v>
      </c>
      <c r="D113" s="32">
        <f>SUM(D8+D17+D26)*1000</f>
        <v>379.42953719408166</v>
      </c>
      <c r="E113" s="36"/>
    </row>
    <row r="114" spans="3:5" x14ac:dyDescent="0.45">
      <c r="C114" s="34" t="s">
        <v>13</v>
      </c>
      <c r="D114" s="35">
        <f>D8*1000</f>
        <v>48.585000000000001</v>
      </c>
      <c r="E114" s="36">
        <f>D114/D$99</f>
        <v>0.12804749034376922</v>
      </c>
    </row>
    <row r="115" spans="3:5" x14ac:dyDescent="0.45">
      <c r="C115" s="34" t="s">
        <v>14</v>
      </c>
      <c r="D115" s="35">
        <v>25.913860684671832</v>
      </c>
      <c r="E115" s="36">
        <f>D115/D113</f>
        <v>6.8296898750443508E-2</v>
      </c>
    </row>
    <row r="116" spans="3:5" x14ac:dyDescent="0.45">
      <c r="C116" s="37" t="s">
        <v>15</v>
      </c>
      <c r="D116" s="38">
        <v>304.93874856531579</v>
      </c>
      <c r="E116" s="39">
        <f t="shared" ref="E115:E116" si="3">D116/D$99</f>
        <v>0.80367688509536583</v>
      </c>
    </row>
  </sheetData>
  <autoFilter ref="B1:B102" xr:uid="{14808630-BE5E-427A-BE02-7EE816DFF294}">
    <filterColumn colId="0">
      <filters>
        <filter val="P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High_BASE</vt:lpstr>
      <vt:lpstr>High_RESI</vt:lpstr>
      <vt:lpstr>High_WOOD</vt:lpstr>
      <vt:lpstr>ocean_dep_soluble_only_HIGH</vt:lpstr>
      <vt:lpstr>Low_BASE</vt:lpstr>
      <vt:lpstr>Low_RESI</vt:lpstr>
      <vt:lpstr>Low_WOOD</vt:lpstr>
      <vt:lpstr>ocean_dep_soluble_only_LOW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Plaas, Haley E. (GISS-6110)[TRUSTEES OF COLUMBIA UNIVE</cp:lastModifiedBy>
  <dcterms:created xsi:type="dcterms:W3CDTF">2025-01-15T13:56:37Z</dcterms:created>
  <dcterms:modified xsi:type="dcterms:W3CDTF">2025-12-07T19:16:55Z</dcterms:modified>
</cp:coreProperties>
</file>